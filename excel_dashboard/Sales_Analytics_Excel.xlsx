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https://d.docs.live.net/917e2c217e20bb1a/Desktop/Sales_Analytics_Project/"/>
    </mc:Choice>
  </mc:AlternateContent>
  <xr:revisionPtr revIDLastSave="280" documentId="8_{0654A203-2B55-4A4A-809C-CAC1208D282A}" xr6:coauthVersionLast="47" xr6:coauthVersionMax="47" xr10:uidLastSave="{7BE058BA-CA65-4334-A499-9C37F1845348}"/>
  <bookViews>
    <workbookView xWindow="-108" yWindow="-108" windowWidth="23256" windowHeight="12456" firstSheet="4" activeTab="5" xr2:uid="{AFBF7B91-CECA-499B-840C-AADD10D70156}"/>
  </bookViews>
  <sheets>
    <sheet name="region_wise_pivottable" sheetId="3" r:id="rId1"/>
    <sheet name="mothly_sales_pivottable" sheetId="4" r:id="rId2"/>
    <sheet name="category_wise_pivottable" sheetId="5" r:id="rId3"/>
    <sheet name="KPI Pivot" sheetId="7" r:id="rId4"/>
    <sheet name="sales_analytics_dataset" sheetId="2" r:id="rId5"/>
    <sheet name="Sales Dashboard" sheetId="6" r:id="rId6"/>
  </sheets>
  <definedNames>
    <definedName name="ExternalData_1" localSheetId="4" hidden="1">sales_analytics_dataset!$A$1:$K$1001</definedName>
    <definedName name="Slicer_Category">#N/A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6" l="1"/>
  <c r="H5" i="6"/>
  <c r="E5" i="6"/>
  <c r="B5" i="6"/>
  <c r="M2" i="2"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CF0482-E1A3-4F98-A0EF-68794BB300CF}" keepAlive="1" name="Query - sales_analytics_dataset" description="Connection to the 'sales_analytics_dataset' query in the workbook." type="5" refreshedVersion="8" background="1" saveData="1">
    <dbPr connection="Provider=Microsoft.Mashup.OleDb.1;Data Source=$Workbook$;Location=sales_analytics_dataset;Extended Properties=&quot;&quot;" command="SELECT * FROM [sales_analytics_datase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<sst xmlns="http://schemas.openxmlformats.org/spreadsheetml/2006/main" count="6042" uniqueCount="1062">
  <si>
    <t>Order_ID</t>
  </si>
  <si>
    <t>Order_Date</t>
  </si>
  <si>
    <t>Product</t>
  </si>
  <si>
    <t>Category</t>
  </si>
  <si>
    <t>Region</t>
  </si>
  <si>
    <t>Sales_Channel</t>
  </si>
  <si>
    <t>Payment_Method</t>
  </si>
  <si>
    <t>Quantity</t>
  </si>
  <si>
    <t>Unit_Price</t>
  </si>
  <si>
    <t>Sales</t>
  </si>
  <si>
    <t>Profit</t>
  </si>
  <si>
    <t>ORD0001</t>
  </si>
  <si>
    <t>Smartphone</t>
  </si>
  <si>
    <t>Electronics</t>
  </si>
  <si>
    <t>North</t>
  </si>
  <si>
    <t>Online</t>
  </si>
  <si>
    <t>Net Banking</t>
  </si>
  <si>
    <t>ORD0002</t>
  </si>
  <si>
    <t>Laptop</t>
  </si>
  <si>
    <t>ORD0003</t>
  </si>
  <si>
    <t>Office Chair</t>
  </si>
  <si>
    <t>Furniture</t>
  </si>
  <si>
    <t>South</t>
  </si>
  <si>
    <t>In-Store</t>
  </si>
  <si>
    <t>Debit Card</t>
  </si>
  <si>
    <t>ORD0004</t>
  </si>
  <si>
    <t>Headphones</t>
  </si>
  <si>
    <t>West</t>
  </si>
  <si>
    <t>ORD0005</t>
  </si>
  <si>
    <t>Monitor</t>
  </si>
  <si>
    <t>UPI</t>
  </si>
  <si>
    <t>ORD0006</t>
  </si>
  <si>
    <t>Desk</t>
  </si>
  <si>
    <t>Central</t>
  </si>
  <si>
    <t>ORD0007</t>
  </si>
  <si>
    <t>Keyboard</t>
  </si>
  <si>
    <t>Cash</t>
  </si>
  <si>
    <t>ORD0008</t>
  </si>
  <si>
    <t>Backpack</t>
  </si>
  <si>
    <t>Accessories</t>
  </si>
  <si>
    <t>ORD0009</t>
  </si>
  <si>
    <t>ORD0010</t>
  </si>
  <si>
    <t>ORD0011</t>
  </si>
  <si>
    <t>East</t>
  </si>
  <si>
    <t>ORD0012</t>
  </si>
  <si>
    <t>ORD0013</t>
  </si>
  <si>
    <t>ORD0014</t>
  </si>
  <si>
    <t>ORD0015</t>
  </si>
  <si>
    <t>ORD0016</t>
  </si>
  <si>
    <t>ORD0017</t>
  </si>
  <si>
    <t>Water Bottle</t>
  </si>
  <si>
    <t>Credit Card</t>
  </si>
  <si>
    <t>ORD0018</t>
  </si>
  <si>
    <t>ORD0019</t>
  </si>
  <si>
    <t>ORD0020</t>
  </si>
  <si>
    <t>ORD0021</t>
  </si>
  <si>
    <t>ORD0022</t>
  </si>
  <si>
    <t>Mouse</t>
  </si>
  <si>
    <t>ORD0023</t>
  </si>
  <si>
    <t>ORD0024</t>
  </si>
  <si>
    <t>ORD0025</t>
  </si>
  <si>
    <t>ORD0026</t>
  </si>
  <si>
    <t>Pen Pack</t>
  </si>
  <si>
    <t>Stationery</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</si>
  <si>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</si>
  <si>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</si>
  <si>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</si>
  <si>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</si>
  <si>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</si>
  <si>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</si>
  <si>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</si>
  <si>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</si>
  <si>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</si>
  <si>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</si>
  <si>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</si>
  <si>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</si>
  <si>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</si>
  <si>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</si>
  <si>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</si>
  <si>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</si>
  <si>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</si>
  <si>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</si>
  <si>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</si>
  <si>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</si>
  <si>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</si>
  <si>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</si>
  <si>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</si>
  <si>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</si>
  <si>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</si>
  <si>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</si>
  <si>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</si>
  <si>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</si>
  <si>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</si>
  <si>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</si>
  <si>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</si>
  <si>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</si>
  <si>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</si>
  <si>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</si>
  <si>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</si>
  <si>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</si>
  <si>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</si>
  <si>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</si>
  <si>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</si>
  <si>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</si>
  <si>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</si>
  <si>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</si>
  <si>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</si>
  <si>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</si>
  <si>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</si>
  <si>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</si>
  <si>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</si>
  <si>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</si>
  <si>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</si>
  <si>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</si>
  <si>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</si>
  <si>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</si>
  <si>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</si>
  <si>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Notebook</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</si>
  <si>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</si>
  <si>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</si>
  <si>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</si>
  <si>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</si>
  <si>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</si>
  <si>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</si>
  <si>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</si>
  <si>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</si>
  <si>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</si>
  <si>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</si>
  <si>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</si>
  <si>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</si>
  <si>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</si>
  <si>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</si>
  <si>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</si>
  <si>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</si>
  <si>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</si>
  <si>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</si>
  <si>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</si>
  <si>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</si>
  <si>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</si>
  <si>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</si>
  <si>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</si>
  <si>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</si>
  <si>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</si>
  <si>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</si>
  <si>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</si>
  <si>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</si>
  <si>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</si>
  <si>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</si>
  <si>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</si>
  <si>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</si>
  <si>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</si>
  <si>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</si>
  <si>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</si>
  <si>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</si>
  <si>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</si>
  <si>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</si>
  <si>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</si>
  <si>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</si>
  <si>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</si>
  <si>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</si>
  <si>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</si>
  <si>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</si>
  <si>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</si>
  <si>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</si>
  <si>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</si>
  <si>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</si>
  <si>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</si>
  <si>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</si>
  <si>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</si>
  <si>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</si>
  <si>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</si>
  <si>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</si>
  <si>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</si>
  <si>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</si>
  <si>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</si>
  <si>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</si>
  <si>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</si>
  <si>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</si>
  <si>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</si>
  <si>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</si>
  <si>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</si>
  <si>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</si>
  <si>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</si>
  <si>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</si>
  <si>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</si>
  <si>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</si>
  <si>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</si>
  <si>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</si>
  <si>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</si>
  <si>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</si>
  <si>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</si>
  <si>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</si>
  <si>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</si>
  <si>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</si>
  <si>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</si>
  <si>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</si>
  <si>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</si>
  <si>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</si>
  <si>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</si>
  <si>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</si>
  <si>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</si>
  <si>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</si>
  <si>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</si>
  <si>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</si>
  <si>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</si>
  <si>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</si>
  <si>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</si>
  <si>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</si>
  <si>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</si>
  <si>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</si>
  <si>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</si>
  <si>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</si>
  <si>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</si>
  <si>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</si>
  <si>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</si>
  <si>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</si>
  <si>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</si>
  <si>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</si>
  <si>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</si>
  <si>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</si>
  <si>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</si>
  <si>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</si>
  <si>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</si>
  <si>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</si>
  <si>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</si>
  <si>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</si>
  <si>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</si>
  <si>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</si>
  <si>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</si>
  <si>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</si>
  <si>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</si>
  <si>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</si>
  <si>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</si>
  <si>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</si>
  <si>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</si>
  <si>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</si>
  <si>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</si>
  <si>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</si>
  <si>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</si>
  <si>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</si>
  <si>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</si>
  <si>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</si>
  <si>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</si>
  <si>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</si>
  <si>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</si>
  <si>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</si>
  <si>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</si>
  <si>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</si>
  <si>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</si>
  <si>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</si>
  <si>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</si>
  <si>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</si>
  <si>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</si>
  <si>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</si>
  <si>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</si>
  <si>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</si>
  <si>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</si>
  <si>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</si>
  <si>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</si>
  <si>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</si>
  <si>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</si>
  <si>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</si>
  <si>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</si>
  <si>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</si>
  <si>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</si>
  <si>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</si>
  <si>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</si>
  <si>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</si>
  <si>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</si>
  <si>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</si>
  <si>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</si>
  <si>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</si>
  <si>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</si>
  <si>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</si>
  <si>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</si>
  <si>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</si>
  <si>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</si>
  <si>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</si>
  <si>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</si>
  <si>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</si>
  <si>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</si>
  <si>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</si>
  <si>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</si>
  <si>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</si>
  <si>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</si>
  <si>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</si>
  <si>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</si>
  <si>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</si>
  <si>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</si>
  <si>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</si>
  <si>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</si>
  <si>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</si>
  <si>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</si>
  <si>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</si>
  <si>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</si>
  <si>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</si>
  <si>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</si>
  <si>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</si>
  <si>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</si>
  <si>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</si>
  <si>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</si>
  <si>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</si>
  <si>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</si>
  <si>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</si>
  <si>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</si>
  <si>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</si>
  <si>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</si>
  <si>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</si>
  <si>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</si>
  <si>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</si>
  <si>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</si>
  <si>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</si>
  <si>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</si>
  <si>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</si>
  <si>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</si>
  <si>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</si>
  <si>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</si>
  <si>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</si>
  <si>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</si>
  <si>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</si>
  <si>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</si>
  <si>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</si>
  <si>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</si>
  <si>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</si>
  <si>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</si>
  <si>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</si>
  <si>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</si>
  <si>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</si>
  <si>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</si>
  <si>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</si>
  <si>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</si>
  <si>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</si>
  <si>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</si>
  <si>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</si>
  <si>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</si>
  <si>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</si>
  <si>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</si>
  <si>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</si>
  <si>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</si>
  <si>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</si>
  <si>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</si>
  <si>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</si>
  <si>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</si>
  <si>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</si>
  <si>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</si>
  <si>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</si>
  <si>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</si>
  <si>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</si>
  <si>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</si>
  <si>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</si>
  <si>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</si>
  <si>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</si>
  <si>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</si>
  <si>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</si>
  <si>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</si>
  <si>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</si>
  <si>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</si>
  <si>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</si>
  <si>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</si>
  <si>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</si>
  <si>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</si>
  <si>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</si>
  <si>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</si>
  <si>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</si>
  <si>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</si>
  <si>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</si>
  <si>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</si>
  <si>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</si>
  <si>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</si>
  <si>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</si>
  <si>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</si>
  <si>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</si>
  <si>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</si>
  <si>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</si>
  <si>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</si>
  <si>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</si>
  <si>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</si>
  <si>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</si>
  <si>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</si>
  <si>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</si>
  <si>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</si>
  <si>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</si>
  <si>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</si>
  <si>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</si>
  <si>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</si>
  <si>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</si>
  <si>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</si>
  <si>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</si>
  <si>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</si>
  <si>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</si>
  <si>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</si>
  <si>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</si>
  <si>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</si>
  <si>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</si>
  <si>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</si>
  <si>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</si>
  <si>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</si>
  <si>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</si>
  <si>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</si>
  <si>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</si>
  <si>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</si>
  <si>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</si>
  <si>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</si>
  <si>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</si>
  <si>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</si>
  <si>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</si>
  <si>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</si>
  <si>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</si>
  <si>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</si>
  <si>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</si>
  <si>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</si>
  <si>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</si>
  <si>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</si>
  <si>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</si>
  <si>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</si>
  <si>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</si>
  <si>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</si>
  <si>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</si>
  <si>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</si>
  <si>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</si>
  <si>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</si>
  <si>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</si>
  <si>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</si>
  <si>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</si>
  <si>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</si>
  <si>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</si>
  <si>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</si>
  <si>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</si>
  <si>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</si>
  <si>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</si>
  <si>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</si>
  <si>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</si>
  <si>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</si>
  <si>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</si>
  <si>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</si>
  <si>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</si>
  <si>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</si>
  <si>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</si>
  <si>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</si>
  <si>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</si>
  <si>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</si>
  <si>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</si>
  <si>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</si>
  <si>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</si>
  <si>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</si>
  <si>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</si>
  <si>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</si>
  <si>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</si>
  <si>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</si>
  <si>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</si>
  <si>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</si>
  <si>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</si>
  <si>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</si>
  <si>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</si>
  <si>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</si>
  <si>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</si>
  <si>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</si>
  <si>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</si>
  <si>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</si>
  <si>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</si>
  <si>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</si>
  <si>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</si>
  <si>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</si>
  <si>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</si>
  <si>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</si>
  <si>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</si>
  <si>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</si>
  <si>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</si>
  <si>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</si>
  <si>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</si>
  <si>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</si>
  <si>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</si>
  <si>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</si>
  <si>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</si>
  <si>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</si>
  <si>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</si>
  <si>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</si>
  <si>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</si>
  <si>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</si>
  <si>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</si>
  <si>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</si>
  <si>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</si>
  <si>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</si>
  <si>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</si>
  <si>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</si>
  <si>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</si>
  <si>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</si>
  <si>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</si>
  <si>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</si>
  <si>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</si>
  <si>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</si>
  <si>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</si>
  <si>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</si>
  <si>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</si>
  <si>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</si>
  <si>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</si>
  <si>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</si>
  <si>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</si>
  <si>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</si>
  <si>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</si>
  <si>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</si>
  <si>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</si>
  <si>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</si>
  <si>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</si>
  <si>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</si>
  <si>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</si>
  <si>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</si>
  <si>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</si>
  <si>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</si>
  <si>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</si>
  <si>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</si>
  <si>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</si>
  <si>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</si>
  <si>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</si>
  <si>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</si>
  <si>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</si>
  <si>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</si>
  <si>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</si>
  <si>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</si>
  <si>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</si>
  <si>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</si>
  <si>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</si>
  <si>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</si>
  <si>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</si>
  <si>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</si>
  <si>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</si>
  <si>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</si>
  <si>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</si>
  <si>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</si>
  <si>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</si>
  <si>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</si>
  <si>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</si>
  <si>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</si>
  <si>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</si>
  <si>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</si>
  <si>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</si>
  <si>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</si>
  <si>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</si>
  <si>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</si>
  <si>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</si>
  <si>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</si>
  <si>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</si>
  <si>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</si>
  <si>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</si>
  <si>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</si>
  <si>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</si>
  <si>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</si>
  <si>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</si>
  <si>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</si>
  <si>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</si>
  <si>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</si>
  <si>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</si>
  <si>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</si>
  <si>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</si>
  <si>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</si>
  <si>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</si>
  <si>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</si>
  <si>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</si>
  <si>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</si>
  <si>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</si>
  <si>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</si>
  <si>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</si>
  <si>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</si>
  <si>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</si>
  <si>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</si>
  <si>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</si>
  <si>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</si>
  <si>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</si>
  <si>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</si>
  <si>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</si>
  <si>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</si>
  <si>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</si>
  <si>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</si>
  <si>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</si>
  <si>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</si>
  <si>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</si>
  <si>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</si>
  <si>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</si>
  <si>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</si>
  <si>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</si>
  <si>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</si>
  <si>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</si>
  <si>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</si>
  <si>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</si>
  <si>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</si>
  <si>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</si>
  <si>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</si>
  <si>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</si>
  <si>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</si>
  <si>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</si>
  <si>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</si>
  <si>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</si>
  <si>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</si>
  <si>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</si>
  <si>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</si>
  <si>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</si>
  <si>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</si>
  <si>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</si>
  <si>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</si>
  <si>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</si>
  <si>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</si>
  <si>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</si>
  <si>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</si>
  <si>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</si>
  <si>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</si>
  <si>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</si>
  <si>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</si>
  <si>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</si>
  <si>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</si>
  <si>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</si>
  <si>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</si>
  <si>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</si>
  <si>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</si>
  <si>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</si>
  <si>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</si>
  <si>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</si>
  <si>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</si>
  <si>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</si>
  <si>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</si>
  <si>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</si>
  <si>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</si>
  <si>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</si>
  <si>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</si>
  <si>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</si>
  <si>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</si>
  <si>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</si>
  <si>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</si>
  <si>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</si>
  <si>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</si>
  <si>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</si>
  <si>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</si>
  <si>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</si>
  <si>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</si>
  <si>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</si>
  <si>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</si>
  <si>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</si>
  <si>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</si>
  <si>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</si>
  <si>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</si>
  <si>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</si>
  <si>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</si>
  <si>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</si>
  <si>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</si>
  <si>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</si>
  <si>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</si>
  <si>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</si>
  <si>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</si>
  <si>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</si>
  <si>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</si>
  <si>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</si>
  <si>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</si>
  <si>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</si>
  <si>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</si>
  <si>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</si>
  <si>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</si>
  <si>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</si>
  <si>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</si>
  <si>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</si>
  <si>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</si>
  <si>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</si>
  <si>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</si>
  <si>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</si>
  <si>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</si>
  <si>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</si>
  <si>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</si>
  <si>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</si>
  <si>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</si>
  <si>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</si>
  <si>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</si>
  <si>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</si>
  <si>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</si>
  <si>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</si>
  <si>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</si>
  <si>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</si>
  <si>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</si>
  <si>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</si>
  <si>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</si>
  <si>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</si>
  <si>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</si>
  <si>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</si>
  <si>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</si>
  <si>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</si>
  <si>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</si>
  <si>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</si>
  <si>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</si>
  <si>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</si>
  <si>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</si>
  <si>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</si>
  <si>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</si>
  <si>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</si>
  <si>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</si>
  <si>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</si>
  <si>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</si>
  <si>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</si>
  <si>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</si>
  <si>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</si>
  <si>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</si>
  <si>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</si>
  <si>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</si>
  <si>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</si>
  <si>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</si>
  <si>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</si>
  <si>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</si>
  <si>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</si>
  <si>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</si>
  <si>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</si>
  <si>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</si>
  <si>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</si>
  <si>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</si>
  <si>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</si>
  <si>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</si>
  <si>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</si>
  <si>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</si>
  <si>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</si>
  <si>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</si>
  <si>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</si>
  <si>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</si>
  <si>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</si>
  <si>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</si>
  <si>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</si>
  <si>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</si>
  <si>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</si>
  <si>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</si>
  <si>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</si>
  <si>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</si>
  <si>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</si>
  <si>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</si>
  <si>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</si>
  <si>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</si>
  <si>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</si>
  <si>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</si>
  <si>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</si>
  <si>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</si>
  <si>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</si>
  <si>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</si>
  <si>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</si>
  <si>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</si>
  <si>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</si>
  <si>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</si>
  <si>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</si>
  <si>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</si>
  <si>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</si>
  <si>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</si>
  <si>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</si>
  <si>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</si>
  <si>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</si>
  <si>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</si>
  <si>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</si>
  <si>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</si>
  <si>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</si>
  <si>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</si>
  <si>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</si>
  <si>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</si>
  <si>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</si>
  <si>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</si>
  <si>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</si>
  <si>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</si>
  <si>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</si>
  <si>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</si>
  <si>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</si>
  <si>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</si>
  <si>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</si>
  <si>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</si>
  <si>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</si>
  <si>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</si>
  <si>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</si>
  <si>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</si>
  <si>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</si>
  <si>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</si>
  <si>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</si>
  <si>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</si>
  <si>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</si>
  <si>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</si>
  <si>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</si>
  <si>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</si>
  <si>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</si>
  <si>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</si>
  <si>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</si>
  <si>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</si>
  <si>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</si>
  <si>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</si>
  <si>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</si>
  <si>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</si>
  <si>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</si>
  <si>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</si>
  <si>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</si>
  <si>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</si>
  <si>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</si>
  <si>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</si>
  <si>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</si>
  <si>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</si>
  <si>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</si>
  <si>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</si>
  <si>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</si>
  <si>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</si>
  <si>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</si>
  <si>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</si>
  <si>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</si>
  <si>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</si>
  <si>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</si>
  <si>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</si>
  <si>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</si>
  <si>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</si>
  <si>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</si>
  <si>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</si>
  <si>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</si>
  <si>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</si>
  <si>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</si>
  <si>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</si>
  <si>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</si>
  <si>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</si>
  <si>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</si>
  <si>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</si>
  <si>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</si>
  <si>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</si>
  <si>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</si>
  <si>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</si>
  <si>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</si>
  <si>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</si>
  <si>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</si>
  <si>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</si>
  <si>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</si>
  <si>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</si>
  <si>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</si>
  <si>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</si>
  <si>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</si>
  <si>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</si>
  <si>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</si>
  <si>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</si>
  <si>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</si>
  <si>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</si>
  <si>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</si>
  <si>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</si>
  <si>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</si>
  <si>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</si>
  <si>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</si>
  <si>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</si>
  <si>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</si>
  <si>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</si>
  <si>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</si>
  <si>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</si>
  <si>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</si>
  <si>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</si>
  <si>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</si>
  <si>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</si>
  <si>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</si>
  <si>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</si>
  <si>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</si>
  <si>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</si>
  <si>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</si>
  <si>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</si>
  <si>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</si>
  <si>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</si>
  <si>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</si>
  <si>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</si>
  <si>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</si>
  <si>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</si>
  <si>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</si>
  <si>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</si>
  <si>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</si>
  <si>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</si>
  <si>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</si>
  <si>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</si>
  <si>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</si>
  <si>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</si>
  <si>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</si>
  <si>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</si>
  <si>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</si>
  <si>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</si>
  <si>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</si>
  <si>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</si>
  <si>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</si>
  <si>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</si>
  <si>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</si>
  <si>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</si>
  <si>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</si>
  <si>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</si>
  <si>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</si>
  <si>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</si>
  <si>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</si>
  <si>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</si>
  <si>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</si>
  <si>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</si>
  <si>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</si>
  <si>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</si>
  <si>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</si>
  <si>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</si>
  <si>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</si>
  <si>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</si>
  <si>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</si>
  <si>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</si>
  <si>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</si>
  <si>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</si>
  <si>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</si>
  <si>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</si>
  <si>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</si>
  <si>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</si>
  <si>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</si>
  <si>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</si>
  <si>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</si>
  <si>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</si>
  <si>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</si>
  <si>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</si>
  <si>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</si>
  <si>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</si>
  <si>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</si>
  <si>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</si>
  <si>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</si>
  <si>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</si>
  <si>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</si>
  <si>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</si>
  <si>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</si>
  <si>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</si>
  <si>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</si>
  <si>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</si>
  <si>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</si>
  <si>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</si>
  <si>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</si>
  <si>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</si>
  <si>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</si>
  <si>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</si>
  <si>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</si>
  <si>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</si>
  <si>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</si>
  <si>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</si>
  <si>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</si>
  <si>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</si>
  <si>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</si>
  <si>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</si>
  <si>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</si>
  <si>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</si>
  <si>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</si>
  <si>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</si>
  <si>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</si>
  <si>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</si>
  <si>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</si>
  <si>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</si>
  <si>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</si>
  <si>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</si>
  <si>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</si>
  <si>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</si>
  <si>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</si>
  <si>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</si>
  <si>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</si>
  <si>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</si>
  <si>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</si>
  <si>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</si>
  <si>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</si>
  <si>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</si>
  <si>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</si>
  <si>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</si>
  <si>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</si>
  <si>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</si>
  <si>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</si>
  <si>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</si>
  <si>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</si>
  <si>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</si>
  <si>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</si>
  <si>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</si>
  <si>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</si>
  <si>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</si>
  <si>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</si>
  <si>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</si>
  <si>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</si>
  <si>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</si>
  <si>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</si>
  <si>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</si>
  <si>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</si>
  <si>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</si>
  <si>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</si>
  <si>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</si>
  <si>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</si>
  <si>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</si>
  <si>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</si>
  <si>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</si>
  <si>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</si>
  <si>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</si>
  <si>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</si>
  <si>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</si>
  <si>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</si>
  <si>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</si>
  <si>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</si>
  <si>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</si>
  <si>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</si>
  <si>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</si>
  <si>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</si>
  <si>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</si>
  <si>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</si>
  <si>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</si>
  <si>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</si>
  <si>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</si>
  <si>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</si>
  <si>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</si>
  <si>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</si>
  <si>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</si>
  <si>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</si>
  <si>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</si>
  <si>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</si>
  <si>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</si>
  <si>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</si>
  <si>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</si>
  <si>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</si>
  <si>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</si>
  <si>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</si>
  <si>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</si>
  <si>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</si>
  <si>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</si>
  <si>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</si>
  <si>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</si>
  <si>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</si>
  <si>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</si>
  <si>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</si>
  <si>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</si>
  <si>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</si>
  <si>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</si>
  <si>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</si>
  <si>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</si>
  <si>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</si>
  <si>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</si>
  <si>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</si>
  <si>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</si>
  <si>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</si>
  <si>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</si>
  <si>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</si>
  <si>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</si>
  <si>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</si>
  <si>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</si>
  <si>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</si>
  <si>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</si>
  <si>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</si>
  <si>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</si>
  <si>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</si>
  <si>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</si>
  <si>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</si>
  <si>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</si>
  <si>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</si>
  <si>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</si>
  <si>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</si>
  <si>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</si>
  <si>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Grand Total</t>
  </si>
  <si>
    <t>Sum of Sales</t>
  </si>
  <si>
    <t>Feb</t>
  </si>
  <si>
    <t>Mar</t>
  </si>
  <si>
    <t>Apr</t>
  </si>
  <si>
    <t>May</t>
  </si>
  <si>
    <t>Jun</t>
  </si>
  <si>
    <t>Jul</t>
  </si>
  <si>
    <t>Aug</t>
  </si>
  <si>
    <t>Sep</t>
  </si>
  <si>
    <t>Nov</t>
  </si>
  <si>
    <t>Dec</t>
  </si>
  <si>
    <t>monthly sales</t>
  </si>
  <si>
    <t>2025</t>
  </si>
  <si>
    <t>Sum of Profit</t>
  </si>
  <si>
    <t>category</t>
  </si>
  <si>
    <t>SALES PERFORMANCE DASHBOARD — 2025</t>
  </si>
  <si>
    <t>Total Sales</t>
  </si>
  <si>
    <t>Total Profit</t>
  </si>
  <si>
    <t>Total Orders</t>
  </si>
  <si>
    <t>Quantity Sold</t>
  </si>
  <si>
    <t>Count of Order_ID</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</si>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</sst>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b/>
      <sz val="20"/>
      <color theme="0"/>
      <name val="Calibri"/>
      <family val="2"/>
      <scheme val="minor"/>
    </font>
    <font>
      <b/>
      <sz val="16"/>
      <color theme="1"/>
      <name val="Calibri"/>
      <family val="2"/>
      <scheme val="minor"/>
    </font>
  </fonts>
  <fills count="7">
    <fill>
      <patternFill patternType="none"/>
    </fill>
    <fill>
      <patternFill patternType="gray125"/>
    </fill>
    <fill>
      <patternFill patternType="solid">
        <fgColor theme="8" tint="-0.49998474074526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2">
    <border>
      <left/>
      <right/>
      <top/>
      <bottom/>
      <diagonal/>
    </border>
    <border>
      <left/>
      <right/>
      <top style="thin">
        <color auto="1"/>
      </top>
      <bottom/>
      <diagonal/>
    </border>
  </borders>
  <cellStyleXfs count="1">
    <xf numFmtId="0" fontId="0" fillId="0" borderId="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2" fillId="3" borderId="0" xfId="0" applyNumberFormat="1" applyFont="1" applyFill="1"/>
    <xf numFmtId="164" fontId="2" fillId="4" borderId="0" xfId="0" applyNumberFormat="1" applyFont="1" applyFill="1"/>
    <xf numFmtId="164" fontId="2" fillId="5" borderId="0" xfId="0" applyNumberFormat="1" applyFont="1" applyFill="1"/>
    <xf numFmtId="164" fontId="2" fillId="6" borderId="0" xfId="0" applyNumberFormat="1" applyFont="1" applyFill="1"/>
    <xf numFmtId="0" fontId="0" fillId="2" borderId="1" xfId="0" applyFill="1" applyBorder="1" applyAlignment="1">
      <alignment horizontal="center" vertical="center"/>
    </xf>
    <xf numFmtId="0" fontId="0" fillId="2" borderId="0" xfId="0" applyFill="1" applyAlignment="1">
      <alignment horizontal="center" vertical="center"/>
    </xf>
    <xf numFmtId="4" fontId="2" fillId="3" borderId="0" xfId="0" applyNumberFormat="1" applyFont="1" applyFill="1"/>
    <xf numFmtId="4" fontId="2" fillId="6" borderId="0" xfId="0" applyNumberFormat="1" applyFont="1" applyFill="1"/>
    <xf numFmtId="0" fontId="1" fillId="2" borderId="1" xfId="0" applyFont="1" applyFill="1" applyBorder="1" applyAlignment="1">
      <alignment horizontal="center" vertical="center"/>
    </xf>
    <xf numFmtId="0" fontId="0" fillId="2" borderId="1" xfId="0" applyFill="1" applyBorder="1" applyAlignment="1">
      <alignment horizontal="center" vertical="center"/>
    </xf>
    <xf numFmtId="0" fontId="0" fillId="2" borderId="0" xfId="0" applyFill="1" applyAlignment="1">
      <alignment horizontal="center" vertical="center"/>
    </xf>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FFCCFF"/>
      <color rgb="FF0066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[Sales_Analytics_Excel.xlsx]region_wise_pivottable!PivotTable1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Region-wise Sales Analysis</a:t>
            </a:r>
          </a:p>
        </c:rich>
      </c:tx>
      <c:layout>
        <c:manualLayout>
          <c:xMode val="edge"/>
          <c:yMode val="edge"/>
          <c:x val="0.35037216138379818"/>
          <c:y val="6.8756596164537012E-2"/>
        </c:manualLayout>
      </c:layout>
      <c:overlay val="0"/>
      <c:spPr>
        <a:solidFill>
          <a:schemeClr val="accent5">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920384951881"/>
          <c:y val="0.26328484981044037"/>
          <c:w val="0.72312270341207352"/>
          <c:h val="0.53774387576552929"/>
        </c:manualLayout>
      </c:layout>
      <c:barChart>
        <c:barDir val="col"/>
        <c:grouping val="clustered"/>
        <c:varyColors val="0"/>
        <c:ser>
          <c:idx val="0"/>
          <c:order val="0"/>
          <c:tx>
            <c:strRef>
              <c:f>region_wise_pivottable!$B$4</c:f>
              <c:strCache>
                <c:ptCount val="1"/>
                <c:pt idx="0">
                  <c:v>Total</c:v>
                </c:pt>
              </c:strCache>
            </c:strRef>
          </c:tx>
          <c:spPr>
            <a:solidFill>
              <a:schemeClr val="accent1">
                <a:lumMod val="50000"/>
              </a:schemeClr>
            </a:solidFill>
            <a:ln>
              <a:solidFill>
                <a:schemeClr val="accent5"/>
              </a:solidFill>
            </a:ln>
            <a:effectLst/>
          </c:spPr>
          <c:invertIfNegative val="0"/>
          <c:cat>
            <c:strRef>
              <c:f>region_wise_pivottable!$A$5:$A$6</c:f>
              <c:strCache>
                <c:ptCount val="1"/>
                <c:pt idx="0">
                  <c:v>East</c:v>
                </c:pt>
              </c:strCache>
            </c:strRef>
          </c:cat>
          <c:val>
            <c:numRef>
              <c:f>region_wise_pivottable!$B$5:$B$6</c:f>
              <c:numCache>
                <c:formatCode>General</c:formatCode>
                <c:ptCount val="1"/>
                <c:pt idx="0">
                  <c:v>40566.92</c:v>
                </c:pt>
              </c:numCache>
            </c:numRef>
          </c:val>
          <c:extLst>
            <c:ext xmlns:c16="http://schemas.microsoft.com/office/drawing/2014/chart" uri="{C3380CC4-5D6E-409C-BE32-E72D297353CC}">
              <c16:uniqueId val="{00000000-58C6-41AF-92BA-39CEEBD3A3F0}"/>
            </c:ext>
          </c:extLst>
        </c:ser>
        <c:dLbls>
          <c:showLegendKey val="0"/>
          <c:showVal val="0"/>
          <c:showCatName val="0"/>
          <c:showSerName val="0"/>
          <c:showPercent val="0"/>
          <c:showBubbleSize val="0"/>
        </c:dLbls>
        <c:gapWidth val="219"/>
        <c:overlap val="-27"/>
        <c:axId val="968693023"/>
        <c:axId val="892128943"/>
      </c:barChart>
      <c:catAx>
        <c:axId val="96869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128943"/>
        <c:crosses val="autoZero"/>
        <c:auto val="1"/>
        <c:lblAlgn val="ctr"/>
        <c:lblOffset val="100"/>
        <c:noMultiLvlLbl val="0"/>
      </c:catAx>
      <c:valAx>
        <c:axId val="89212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69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[Sales_Analytics_Excel.xlsx]mothly_sales_pivottable!PivotTable2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Monthly Sales Trend - 2025</a:t>
            </a:r>
            <a:endParaRPr lang="en-US" b="1">
              <a:solidFill>
                <a:schemeClr val="tx1"/>
              </a:solidFill>
            </a:endParaRPr>
          </a:p>
        </c:rich>
      </c:tx>
      <c:layout>
        <c:manualLayout>
          <c:xMode val="edge"/>
          <c:yMode val="edge"/>
          <c:x val="0.31216935266269286"/>
          <c:y val="5.3850749031235372E-2"/>
        </c:manualLayout>
      </c:layout>
      <c:overlay val="0"/>
      <c:spPr>
        <a:solidFill>
          <a:schemeClr val="accent6">
            <a:lumMod val="40000"/>
            <a:lumOff val="6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53786475220009"/>
          <c:y val="0.25967812406682694"/>
          <c:w val="0.71287082680145675"/>
          <c:h val="0.46782835364757486"/>
        </c:manualLayout>
      </c:layout>
      <c:lineChart>
        <c:grouping val="standard"/>
        <c:varyColors val="0"/>
        <c:ser>
          <c:idx val="0"/>
          <c:order val="0"/>
          <c:tx>
            <c:strRef>
              <c:f>mothly_sales_pivottable!$B$3</c:f>
              <c:strCache>
                <c:ptCount val="1"/>
                <c:pt idx="0">
                  <c:v>Total</c:v>
                </c:pt>
              </c:strCache>
            </c:strRef>
          </c:tx>
          <c:spPr>
            <a:ln w="28575" cap="rnd">
              <a:solidFill>
                <a:schemeClr val="accent1"/>
              </a:solidFill>
              <a:round/>
            </a:ln>
            <a:effectLst/>
          </c:spPr>
          <c:marker>
            <c:symbol val="circle"/>
            <c:size val="5"/>
            <c:spPr>
              <a:solidFill>
                <a:schemeClr val="accent1">
                  <a:lumMod val="75000"/>
                </a:schemeClr>
              </a:solidFill>
              <a:ln w="9525">
                <a:solidFill>
                  <a:schemeClr val="accent1"/>
                </a:solidFill>
              </a:ln>
              <a:effectLst/>
            </c:spPr>
          </c:marker>
          <c:cat>
            <c:multiLvlStrRef>
              <c:f>mothly_sales_pivottable!$A$4:$A$15</c:f>
              <c:multiLvlStrCache>
                <c:ptCount val="10"/>
                <c:lvl>
                  <c:pt idx="0">
                    <c:v>Feb</c:v>
                  </c:pt>
                  <c:pt idx="1">
                    <c:v>Mar</c:v>
                  </c:pt>
                  <c:pt idx="2">
                    <c:v>Apr</c:v>
                  </c:pt>
                  <c:pt idx="3">
                    <c:v>May</c:v>
                  </c:pt>
                  <c:pt idx="4">
                    <c:v>Jun</c:v>
                  </c:pt>
                  <c:pt idx="5">
                    <c:v>Jul</c:v>
                  </c:pt>
                  <c:pt idx="6">
                    <c:v>Aug</c:v>
                  </c:pt>
                  <c:pt idx="7">
                    <c:v>Sep</c:v>
                  </c:pt>
                  <c:pt idx="8">
                    <c:v>Nov</c:v>
                  </c:pt>
                  <c:pt idx="9">
                    <c:v>Dec</c:v>
                  </c:pt>
                </c:lvl>
                <c:lvl>
                  <c:pt idx="0">
                    <c:v>2025</c:v>
                  </c:pt>
                </c:lvl>
              </c:multiLvlStrCache>
            </c:multiLvlStrRef>
          </c:cat>
          <c:val>
            <c:numRef>
              <c:f>mothly_sales_pivottable!$B$4:$B$15</c:f>
              <c:numCache>
                <c:formatCode>General</c:formatCode>
                <c:ptCount val="10"/>
                <c:pt idx="0">
                  <c:v>2981.95</c:v>
                </c:pt>
                <c:pt idx="1">
                  <c:v>6771.4900000000007</c:v>
                </c:pt>
                <c:pt idx="2">
                  <c:v>5188.1100000000006</c:v>
                </c:pt>
                <c:pt idx="3">
                  <c:v>7703.7699999999995</c:v>
                </c:pt>
                <c:pt idx="4">
                  <c:v>2276.35</c:v>
                </c:pt>
                <c:pt idx="5">
                  <c:v>665.52</c:v>
                </c:pt>
                <c:pt idx="6">
                  <c:v>687.76</c:v>
                </c:pt>
                <c:pt idx="7">
                  <c:v>5928.35</c:v>
                </c:pt>
                <c:pt idx="8">
                  <c:v>4681.34</c:v>
                </c:pt>
                <c:pt idx="9">
                  <c:v>3682.2799999999997</c:v>
                </c:pt>
              </c:numCache>
            </c:numRef>
          </c:val>
          <c:smooth val="0"/>
          <c:extLst>
            <c:ext xmlns:c16="http://schemas.microsoft.com/office/drawing/2014/chart" uri="{C3380CC4-5D6E-409C-BE32-E72D297353CC}">
              <c16:uniqueId val="{00000000-E783-4DF2-AC70-75C62A2C6FDD}"/>
            </c:ext>
          </c:extLst>
        </c:ser>
        <c:dLbls>
          <c:showLegendKey val="0"/>
          <c:showVal val="0"/>
          <c:showCatName val="0"/>
          <c:showSerName val="0"/>
          <c:showPercent val="0"/>
          <c:showBubbleSize val="0"/>
        </c:dLbls>
        <c:marker val="1"/>
        <c:smooth val="0"/>
        <c:axId val="1588583263"/>
        <c:axId val="892161583"/>
      </c:lineChart>
      <c:catAx>
        <c:axId val="158858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161583"/>
        <c:crosses val="autoZero"/>
        <c:auto val="1"/>
        <c:lblAlgn val="ctr"/>
        <c:lblOffset val="100"/>
        <c:noMultiLvlLbl val="0"/>
      </c:catAx>
      <c:valAx>
        <c:axId val="89216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58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[Sales_Analytics_Excel.xlsx]category_wise_pivottable!PivotTable3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Category-wise Profit Analysis</a:t>
            </a:r>
            <a:endParaRPr lang="en-US" b="1">
              <a:solidFill>
                <a:schemeClr val="tx1"/>
              </a:solidFill>
            </a:endParaRP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category_wise_pivottable!$B$3</c:f>
              <c:strCache>
                <c:ptCount val="1"/>
                <c:pt idx="0">
                  <c:v>Total</c:v>
                </c:pt>
              </c:strCache>
            </c:strRef>
          </c:tx>
          <c:spPr>
            <a:solidFill>
              <a:srgbClr val="7030A0"/>
            </a:solidFill>
            <a:ln>
              <a:noFill/>
            </a:ln>
            <a:effectLst/>
          </c:spPr>
          <c:invertIfNegative val="0"/>
          <c:cat>
            <c:strRef>
              <c:f>category_wise_pivottable!$A$4:$A$5</c:f>
              <c:strCache>
                <c:ptCount val="1"/>
                <c:pt idx="0">
                  <c:v>Accessories</c:v>
                </c:pt>
              </c:strCache>
            </c:strRef>
          </c:cat>
          <c:val>
            <c:numRef>
              <c:f>category_wise_pivottable!$B$4:$B$5</c:f>
              <c:numCache>
                <c:formatCode>General</c:formatCode>
                <c:ptCount val="1"/>
                <c:pt idx="0">
                  <c:v>10025.77</c:v>
                </c:pt>
              </c:numCache>
            </c:numRef>
          </c:val>
          <c:extLst>
            <c:ext xmlns:c16="http://schemas.microsoft.com/office/drawing/2014/chart" uri="{C3380CC4-5D6E-409C-BE32-E72D297353CC}">
              <c16:uniqueId val="{00000000-FACC-4CEA-9B1E-4B23B0BAEE3E}"/>
            </c:ext>
          </c:extLst>
        </c:ser>
        <c:dLbls>
          <c:showLegendKey val="0"/>
          <c:showVal val="0"/>
          <c:showCatName val="0"/>
          <c:showSerName val="0"/>
          <c:showPercent val="0"/>
          <c:showBubbleSize val="0"/>
        </c:dLbls>
        <c:gapWidth val="182"/>
        <c:axId val="968734783"/>
        <c:axId val="892154863"/>
      </c:barChart>
      <c:catAx>
        <c:axId val="968734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154863"/>
        <c:crosses val="autoZero"/>
        <c:auto val="1"/>
        <c:lblAlgn val="ctr"/>
        <c:lblOffset val="100"/>
        <c:noMultiLvlLbl val="0"/>
      </c:catAx>
      <c:valAx>
        <c:axId val="892154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3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639536</xdr:colOff>
      <xdr:row>6</xdr:row>
      <xdr:rowOff>41190</xdr:rowOff>
    </xdr:from>
    <xdr:to>
      <xdr:col>6</xdr:col>
      <xdr:colOff>557894</xdr:colOff>
      <xdr:row>23</xdr:row>
      <xdr:rowOff>133350</xdr:rowOff>
    </xdr:to>
    <xdr:graphicFrame macro="">
      <xdr:nvGraphicFramePr>
        <xdr:cNvPr id="2" name="Chart 1">
          <a:extLst>
            <a:ext uri="{FF2B5EF4-FFF2-40B4-BE49-F238E27FC236}">
              <a16:creationId xmlns:a16="http://schemas.microsoft.com/office/drawing/2014/main" id="{B2A58DB5-16BA-4525-83E6-C3D70A72A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585108</xdr:colOff>
      <xdr:row>6</xdr:row>
      <xdr:rowOff>51707</xdr:rowOff>
    </xdr:from>
    <xdr:to>
      <xdr:col>13</xdr:col>
      <xdr:colOff>13607</xdr:colOff>
      <xdr:row>23</xdr:row>
      <xdr:rowOff>156481</xdr:rowOff>
    </xdr:to>
    <xdr:graphicFrame macro="">
      <xdr:nvGraphicFramePr>
        <xdr:cNvPr id="3" name="Chart 2">
          <a:extLst>
            <a:ext uri="{FF2B5EF4-FFF2-40B4-BE49-F238E27FC236}">
              <a16:creationId xmlns:a16="http://schemas.microsoft.com/office/drawing/2014/main" id="{A960FBA9-626E-472F-909A-628B15F49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643618</xdr:colOff>
      <xdr:row>24</xdr:row>
      <xdr:rowOff>16055</xdr:rowOff>
    </xdr:from>
    <xdr:to>
      <xdr:col>12</xdr:col>
      <xdr:colOff>598714</xdr:colOff>
      <xdr:row>40</xdr:row>
      <xdr:rowOff>80554</xdr:rowOff>
    </xdr:to>
    <xdr:graphicFrame macro="">
      <xdr:nvGraphicFramePr>
        <xdr:cNvPr id="4" name="Chart 3">
          <a:extLst>
            <a:ext uri="{FF2B5EF4-FFF2-40B4-BE49-F238E27FC236}">
              <a16:creationId xmlns:a16="http://schemas.microsoft.com/office/drawing/2014/main" id="{1C56974D-CC15-440B-B899-7E806A69F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43000</xdr:colOff>
      <xdr:row>15</xdr:row>
      <xdr:rowOff>84909</xdr:rowOff>
    </xdr:from>
    <xdr:to>
      <xdr:col>16</xdr:col>
      <xdr:colOff>34835</xdr:colOff>
      <xdr:row>29</xdr:row>
      <xdr:rowOff>75384</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5BD925C3-3541-AC09-9581-CFAFDE96DCC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17271" y="3068333"/>
              <a:ext cx="1812886" cy="25218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60417</xdr:colOff>
      <xdr:row>3</xdr:row>
      <xdr:rowOff>7076</xdr:rowOff>
    </xdr:from>
    <xdr:to>
      <xdr:col>16</xdr:col>
      <xdr:colOff>52252</xdr:colOff>
      <xdr:row>15</xdr:row>
      <xdr:rowOff>65587</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AE40527A-18B1-8C4C-A728-C1C8F362402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34688" y="549517"/>
              <a:ext cx="1812886" cy="2499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22.079692824074" createdVersion="8" refreshedVersion="8" minRefreshableVersion="3" recordCount="1000" xr:uid="{D6819F41-F5EB-47D4-8686-EC72300FEDA9}">
  <cacheSource type="worksheet">
    <worksheetSource name="SalesData"/>
  </cacheSource>
  <cacheFields count="13">
    <cacheField name="Order_ID" numFmtId="0">
      <sharedItems/>
    </cacheField>
    <cacheField name="Order_Date" numFmtId="14">
      <sharedItems containsSemiMixedTypes="0" containsNonDate="0" containsDate="1" containsString="0" minDate="2025-01-01T00:00:00" maxDate="2026-01-01T00:00:00" count="340">
        <d v="2025-11-24T00:00:00"/>
        <d v="2025-08-05T00:00:00"/>
        <d v="2025-08-03T00:00:00"/>
        <d v="2025-05-23T00:00:00"/>
        <d v="2025-06-26T00:00:00"/>
        <d v="2025-10-10T00:00:00"/>
        <d v="2025-01-24T00:00:00"/>
        <d v="2025-11-08T00:00:00"/>
        <d v="2025-04-23T00:00:00"/>
        <d v="2025-05-18T00:00:00"/>
        <d v="2025-07-22T00:00:00"/>
        <d v="2025-08-08T00:00:00"/>
        <d v="2025-01-25T00:00:00"/>
        <d v="2025-07-15T00:00:00"/>
        <d v="2025-05-17T00:00:00"/>
        <d v="2025-04-02T00:00:00"/>
        <d v="2025-07-11T00:00:00"/>
        <d v="2025-01-10T00:00:00"/>
        <d v="2025-05-04T00:00:00"/>
        <d v="2025-12-04T00:00:00"/>
        <d v="2025-10-04T00:00:00"/>
        <d v="2025-08-20T00:00:00"/>
        <d v="2025-09-21T00:00:00"/>
        <d v="2025-08-31T00:00:00"/>
        <d v="2025-01-28T00:00:00"/>
        <d v="2025-04-09T00:00:00"/>
        <d v="2025-08-15T00:00:00"/>
        <d v="2025-03-27T00:00:00"/>
        <d v="2025-01-02T00:00:00"/>
        <d v="2025-04-08T00:00:00"/>
        <d v="2025-01-26T00:00:00"/>
        <d v="2025-02-05T00:00:00"/>
        <d v="2025-11-01T00:00:00"/>
        <d v="2025-04-15T00:00:00"/>
        <d v="2025-02-07T00:00:00"/>
        <d v="2025-05-16T00:00:00"/>
        <d v="2025-08-13T00:00:00"/>
        <d v="2025-06-03T00:00:00"/>
        <d v="2025-05-25T00:00:00"/>
        <d v="2025-01-27T00:00:00"/>
        <d v="2025-03-24T00:00:00"/>
        <d v="2025-10-07T00:00:00"/>
        <d v="2025-07-06T00:00:00"/>
        <d v="2025-07-28T00:00:00"/>
        <d v="2025-01-13T00:00:00"/>
        <d v="2025-12-26T00:00:00"/>
        <d v="2025-06-06T00:00:00"/>
        <d v="2025-06-29T00:00:00"/>
        <d v="2025-05-14T00:00:00"/>
        <d v="2025-06-10T00:00:00"/>
        <d v="2025-01-23T00:00:00"/>
        <d v="2025-06-08T00:00:00"/>
        <d v="2025-12-07T00:00:00"/>
        <d v="2025-01-01T00:00:00"/>
        <d v="2025-04-12T00:00:00"/>
        <d v="2025-11-19T00:00:00"/>
        <d v="2025-02-24T00:00:00"/>
        <d v="2025-05-08T00:00:00"/>
        <d v="2025-11-10T00:00:00"/>
        <d v="2025-08-19T00:00:00"/>
        <d v="2025-05-21T00:00:00"/>
        <d v="2025-03-19T00:00:00"/>
        <d v="2025-10-05T00:00:00"/>
        <d v="2025-07-14T00:00:00"/>
        <d v="2025-03-07T00:00:00"/>
        <d v="2025-03-11T00:00:00"/>
        <d v="2025-04-13T00:00:00"/>
        <d v="2025-12-25T00:00:00"/>
        <d v="2025-02-25T00:00:00"/>
        <d v="2025-02-08T00:00:00"/>
        <d v="2025-01-22T00:00:00"/>
        <d v="2025-09-08T00:00:00"/>
        <d v="2025-04-01T00:00:00"/>
        <d v="2025-08-12T00:00:00"/>
        <d v="2025-05-05T00:00:00"/>
        <d v="2025-09-07T00:00:00"/>
        <d v="2025-01-06T00:00:00"/>
        <d v="2025-11-27T00:00:00"/>
        <d v="2025-10-02T00:00:00"/>
        <d v="2025-04-10T00:00:00"/>
        <d v="2025-10-21T00:00:00"/>
        <d v="2025-02-28T00:00:00"/>
        <d v="2025-10-16T00:00:00"/>
        <d v="2025-11-14T00:00:00"/>
        <d v="2025-12-05T00:00:00"/>
        <d v="2025-12-19T00:00:00"/>
        <d v="2025-12-18T00:00:00"/>
        <d v="2025-10-06T00:00:00"/>
        <d v="2025-06-07T00:00:00"/>
        <d v="2025-06-15T00:00:00"/>
        <d v="2025-10-23T00:00:00"/>
        <d v="2025-10-27T00:00:00"/>
        <d v="2025-06-14T00:00:00"/>
        <d v="2025-10-09T00:00:00"/>
        <d v="2025-08-25T00:00:00"/>
        <d v="2025-04-26T00:00:00"/>
        <d v="2025-12-28T00:00:00"/>
        <d v="2025-09-17T00:00:00"/>
        <d v="2025-08-17T00:00:00"/>
        <d v="2025-04-07T00:00:00"/>
        <d v="2025-03-06T00:00:00"/>
        <d v="2025-08-22T00:00:00"/>
        <d v="2025-11-17T00:00:00"/>
        <d v="2025-11-20T00:00:00"/>
        <d v="2025-08-16T00:00:00"/>
        <d v="2025-02-10T00:00:00"/>
        <d v="2025-03-22T00:00:00"/>
        <d v="2025-06-04T00:00:00"/>
        <d v="2025-06-01T00:00:00"/>
        <d v="2025-06-30T00:00:00"/>
        <d v="2025-03-31T00:00:00"/>
        <d v="2025-05-12T00:00:00"/>
        <d v="2025-03-14T00:00:00"/>
        <d v="2025-04-24T00:00:00"/>
        <d v="2025-03-13T00:00:00"/>
        <d v="2025-03-21T00:00:00"/>
        <d v="2025-04-22T00:00:00"/>
        <d v="2025-07-23T00:00:00"/>
        <d v="2025-11-25T00:00:00"/>
        <d v="2025-04-16T00:00:00"/>
        <d v="2025-11-02T00:00:00"/>
        <d v="2025-02-26T00:00:00"/>
        <d v="2025-07-05T00:00:00"/>
        <d v="2025-09-09T00:00:00"/>
        <d v="2025-09-16T00:00:00"/>
        <d v="2025-02-13T00:00:00"/>
        <d v="2025-10-15T00:00:00"/>
        <d v="2025-11-04T00:00:00"/>
        <d v="2025-12-03T00:00:00"/>
        <d v="2025-01-04T00:00:00"/>
        <d v="2025-09-29T00:00:00"/>
        <d v="2025-08-09T00:00:00"/>
        <d v="2025-06-17T00:00:00"/>
        <d v="2025-10-14T00:00:00"/>
        <d v="2025-08-24T00:00:00"/>
        <d v="2025-07-27T00:00:00"/>
        <d v="2025-11-11T00:00:00"/>
        <d v="2025-11-30T00:00:00"/>
        <d v="2025-06-25T00:00:00"/>
        <d v="2025-09-25T00:00:00"/>
        <d v="2025-12-02T00:00:00"/>
        <d v="2025-07-12T00:00:00"/>
        <d v="2025-09-18T00:00:00"/>
        <d v="2025-11-13T00:00:00"/>
        <d v="2025-04-30T00:00:00"/>
        <d v="2025-08-14T00:00:00"/>
        <d v="2025-11-06T00:00:00"/>
        <d v="2025-03-05T00:00:00"/>
        <d v="2025-02-16T00:00:00"/>
        <d v="2025-09-15T00:00:00"/>
        <d v="2025-11-29T00:00:00"/>
        <d v="2025-08-18T00:00:00"/>
        <d v="2025-05-28T00:00:00"/>
        <d v="2025-09-27T00:00:00"/>
        <d v="2025-11-22T00:00:00"/>
        <d v="2025-01-19T00:00:00"/>
        <d v="2025-07-08T00:00:00"/>
        <d v="2025-09-12T00:00:00"/>
        <d v="2025-12-10T00:00:00"/>
        <d v="2025-10-18T00:00:00"/>
        <d v="2025-04-06T00:00:00"/>
        <d v="2025-03-30T00:00:00"/>
        <d v="2025-04-25T00:00:00"/>
        <d v="2025-10-11T00:00:00"/>
        <d v="2025-06-12T00:00:00"/>
        <d v="2025-08-10T00:00:00"/>
        <d v="2025-05-09T00:00:00"/>
        <d v="2025-08-02T00:00:00"/>
        <d v="2025-05-06T00:00:00"/>
        <d v="2025-09-05T00:00:00"/>
        <d v="2025-03-08T00:00:00"/>
        <d v="2025-05-07T00:00:00"/>
        <d v="2025-03-23T00:00:00"/>
        <d v="2025-08-28T00:00:00"/>
        <d v="2025-04-21T00:00:00"/>
        <d v="2025-01-05T00:00:00"/>
        <d v="2025-07-25T00:00:00"/>
        <d v="2025-07-21T00:00:00"/>
        <d v="2025-10-26T00:00:00"/>
        <d v="2025-01-17T00:00:00"/>
        <d v="2025-07-31T00:00:00"/>
        <d v="2025-09-23T00:00:00"/>
        <d v="2025-12-20T00:00:00"/>
        <d v="2025-04-14T00:00:00"/>
        <d v="2025-08-30T00:00:00"/>
        <d v="2025-09-02T00:00:00"/>
        <d v="2025-04-29T00:00:00"/>
        <d v="2025-06-02T00:00:00"/>
        <d v="2025-01-08T00:00:00"/>
        <d v="2025-08-27T00:00:00"/>
        <d v="2025-02-11T00:00:00"/>
        <d v="2025-10-08T00:00:00"/>
        <d v="2025-12-15T00:00:00"/>
        <d v="2025-03-09T00:00:00"/>
        <d v="2025-05-11T00:00:00"/>
        <d v="2025-01-31T00:00:00"/>
        <d v="2025-03-02T00:00:00"/>
        <d v="2025-06-27T00:00:00"/>
        <d v="2025-05-29T00:00:00"/>
        <d v="2025-10-30T00:00:00"/>
        <d v="2025-11-26T00:00:00"/>
        <d v="2025-01-30T00:00:00"/>
        <d v="2025-04-17T00:00:00"/>
        <d v="2025-02-20T00:00:00"/>
        <d v="2025-03-20T00:00:00"/>
        <d v="2025-12-09T00:00:00"/>
        <d v="2025-01-09T00:00:00"/>
        <d v="2025-03-18T00:00:00"/>
        <d v="2025-02-17T00:00:00"/>
        <d v="2025-09-13T00:00:00"/>
        <d v="2025-04-19T00:00:00"/>
        <d v="2025-02-09T00:00:00"/>
        <d v="2025-11-21T00:00:00"/>
        <d v="2025-02-12T00:00:00"/>
        <d v="2025-02-14T00:00:00"/>
        <d v="2025-07-01T00:00:00"/>
        <d v="2025-03-28T00:00:00"/>
        <d v="2025-08-04T00:00:00"/>
        <d v="2025-11-12T00:00:00"/>
        <d v="2025-12-22T00:00:00"/>
        <d v="2025-12-29T00:00:00"/>
        <d v="2025-11-03T00:00:00"/>
        <d v="2025-11-28T00:00:00"/>
        <d v="2025-06-13T00:00:00"/>
        <d v="2025-10-31T00:00:00"/>
        <d v="2025-07-18T00:00:00"/>
        <d v="2025-08-01T00:00:00"/>
        <d v="2025-09-19T00:00:00"/>
        <d v="2025-10-29T00:00:00"/>
        <d v="2025-02-02T00:00:00"/>
        <d v="2025-05-26T00:00:00"/>
        <d v="2025-04-20T00:00:00"/>
        <d v="2025-12-23T00:00:00"/>
        <d v="2025-04-28T00:00:00"/>
        <d v="2025-05-03T00:00:00"/>
        <d v="2025-05-27T00:00:00"/>
        <d v="2025-10-03T00:00:00"/>
        <d v="2025-12-08T00:00:00"/>
        <d v="2025-09-10T00:00:00"/>
        <d v="2025-03-10T00:00:00"/>
        <d v="2025-05-30T00:00:00"/>
        <d v="2025-05-20T00:00:00"/>
        <d v="2025-01-12T00:00:00"/>
        <d v="2025-09-03T00:00:00"/>
        <d v="2025-07-04T00:00:00"/>
        <d v="2025-02-19T00:00:00"/>
        <d v="2025-07-09T00:00:00"/>
        <d v="2025-10-20T00:00:00"/>
        <d v="2025-02-21T00:00:00"/>
        <d v="2025-06-22T00:00:00"/>
        <d v="2025-03-25T00:00:00"/>
        <d v="2025-01-11T00:00:00"/>
        <d v="2025-05-10T00:00:00"/>
        <d v="2025-06-28T00:00:00"/>
        <d v="2025-02-22T00:00:00"/>
        <d v="2025-12-17T00:00:00"/>
        <d v="2025-03-12T00:00:00"/>
        <d v="2025-04-03T00:00:00"/>
        <d v="2025-10-01T00:00:00"/>
        <d v="2025-12-13T00:00:00"/>
        <d v="2025-07-03T00:00:00"/>
        <d v="2025-11-07T00:00:00"/>
        <d v="2025-12-27T00:00:00"/>
        <d v="2025-05-01T00:00:00"/>
        <d v="2025-08-07T00:00:00"/>
        <d v="2025-06-18T00:00:00"/>
        <d v="2025-04-04T00:00:00"/>
        <d v="2025-01-15T00:00:00"/>
        <d v="2025-07-30T00:00:00"/>
        <d v="2025-12-06T00:00:00"/>
        <d v="2025-06-23T00:00:00"/>
        <d v="2025-08-23T00:00:00"/>
        <d v="2025-02-23T00:00:00"/>
        <d v="2025-12-21T00:00:00"/>
        <d v="2025-01-07T00:00:00"/>
        <d v="2025-07-19T00:00:00"/>
        <d v="2025-05-31T00:00:00"/>
        <d v="2025-01-21T00:00:00"/>
        <d v="2025-09-24T00:00:00"/>
        <d v="2025-12-16T00:00:00"/>
        <d v="2025-09-22T00:00:00"/>
        <d v="2025-04-18T00:00:00"/>
        <d v="2025-06-19T00:00:00"/>
        <d v="2025-04-27T00:00:00"/>
        <d v="2025-12-11T00:00:00"/>
        <d v="2025-10-12T00:00:00"/>
        <d v="2025-04-05T00:00:00"/>
        <d v="2025-12-31T00:00:00"/>
        <d v="2025-12-01T00:00:00"/>
        <d v="2025-09-04T00:00:00"/>
        <d v="2025-05-22T00:00:00"/>
        <d v="2025-10-22T00:00:00"/>
        <d v="2025-03-01T00:00:00"/>
        <d v="2025-07-13T00:00:00"/>
        <d v="2025-07-24T00:00:00"/>
        <d v="2025-12-24T00:00:00"/>
        <d v="2025-09-26T00:00:00"/>
        <d v="2025-08-11T00:00:00"/>
        <d v="2025-06-05T00:00:00"/>
        <d v="2025-11-23T00:00:00"/>
        <d v="2025-06-11T00:00:00"/>
        <d v="2025-01-20T00:00:00"/>
        <d v="2025-03-03T00:00:00"/>
        <d v="2025-02-06T00:00:00"/>
        <d v="2025-02-04T00:00:00"/>
        <d v="2025-07-29T00:00:00"/>
        <d v="2025-11-18T00:00:00"/>
        <d v="2025-03-16T00:00:00"/>
        <d v="2025-10-24T00:00:00"/>
        <d v="2025-12-14T00:00:00"/>
        <d v="2025-03-15T00:00:00"/>
        <d v="2025-12-12T00:00:00"/>
        <d v="2025-07-02T00:00:00"/>
        <d v="2025-05-13T00:00:00"/>
        <d v="2025-01-16T00:00:00"/>
        <d v="2025-09-06T00:00:00"/>
        <d v="2025-05-24T00:00:00"/>
        <d v="2025-01-18T00:00:00"/>
        <d v="2025-07-16T00:00:00"/>
        <d v="2025-03-26T00:00:00"/>
        <d v="2025-06-21T00:00:00"/>
        <d v="2025-05-02T00:00:00"/>
        <d v="2025-03-29T00:00:00"/>
        <d v="2025-08-29T00:00:00"/>
        <d v="2025-09-11T00:00:00"/>
        <d v="2025-12-30T00:00:00"/>
        <d v="2025-07-10T00:00:00"/>
        <d v="2025-04-11T00:00:00"/>
        <d v="2025-08-06T00:00:00"/>
        <d v="2025-10-19T00:00:00"/>
        <d v="2025-03-04T00:00:00"/>
        <d v="2025-11-15T00:00:00"/>
        <d v="2025-03-17T00:00:00"/>
        <d v="2025-10-13T00:00:00"/>
        <d v="2025-02-15T00:00:00"/>
        <d v="2025-02-27T00:00:00"/>
        <d v="2025-08-26T00:00:00"/>
        <d v="2025-06-20T00:00:00"/>
        <d v="2025-02-01T00:00:00"/>
        <d v="2025-06-24T00:00:00"/>
      </sharedItems>
      <fieldGroup par="12"/>
    </cacheField>
    <cacheField name="Product" numFmtId="0">
      <sharedItems/>
    </cacheField>
    <cacheField name="Category" numFmtId="0">
      <sharedItems count="4">
        <s v="Electronics"/>
        <s v="Furniture"/>
        <s v="Accessories"/>
        <s v="Stationery"/>
      </sharedItems>
    </cacheField>
    <cacheField name="Region" numFmtId="0">
      <sharedItems count="5">
        <s v="North"/>
        <s v="South"/>
        <s v="West"/>
        <s v="Central"/>
        <s v="East"/>
      </sharedItems>
    </cacheField>
    <cacheField name="Sales_Channel" numFmtId="0">
      <sharedItems/>
    </cacheField>
    <cacheField name="Payment_Method"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72.11" maxValue="46187.02"/>
    </cacheField>
    <cacheField name="Sales" numFmtId="0">
      <sharedItems containsSemiMixedTypes="0" containsString="0" containsNumber="1" minValue="72.2" maxValue="230162" count="1000">
        <n v="17190.11"/>
        <n v="39636.559999999998"/>
        <n v="12423.3"/>
        <n v="1894.86"/>
        <n v="10904.28"/>
        <n v="27640.02"/>
        <n v="862.09"/>
        <n v="2335.12"/>
        <n v="941.24"/>
        <n v="948.3"/>
        <n v="19594.47"/>
        <n v="1715.36"/>
        <n v="11326.37"/>
        <n v="16775.939999999999"/>
        <n v="60349.35"/>
        <n v="862.83"/>
        <n v="1503.76"/>
        <n v="3800.62"/>
        <n v="77453.600000000006"/>
        <n v="44022.28"/>
        <n v="4478.5200000000004"/>
        <n v="1042.58"/>
        <n v="16430.490000000002"/>
        <n v="43101.26"/>
        <n v="6481.04"/>
        <n v="110.33"/>
        <n v="1852.62"/>
        <n v="12064.48"/>
        <n v="360.65"/>
        <n v="226.26"/>
        <n v="126.82"/>
        <n v="8205.27"/>
        <n v="26013.06"/>
        <n v="12868.37"/>
        <n v="82642.98"/>
        <n v="2558.88"/>
        <n v="92374.04"/>
        <n v="7748.44"/>
        <n v="1073.46"/>
        <n v="968.06"/>
        <n v="11622.91"/>
        <n v="38371.300000000003"/>
        <n v="1041.1400000000001"/>
        <n v="128079.24"/>
        <n v="158258.56"/>
        <n v="39065.49"/>
        <n v="5218.7700000000004"/>
        <n v="16339.41"/>
        <n v="6708.04"/>
        <n v="1864.62"/>
        <n v="3948.16"/>
        <n v="240.54"/>
        <n v="1003.98"/>
        <n v="3688.68"/>
        <n v="882.43"/>
        <n v="259.33999999999997"/>
        <n v="8873.7999999999993"/>
        <n v="895.17"/>
        <n v="1740.66"/>
        <n v="1708.14"/>
        <n v="12471.25"/>
        <n v="127.3"/>
        <n v="38170.199999999997"/>
        <n v="1970.68"/>
        <n v="28835.25"/>
        <n v="1148.57"/>
        <n v="6048.65"/>
        <n v="1129.6400000000001"/>
        <n v="1164.42"/>
        <n v="16304.48"/>
        <n v="25953.26"/>
        <n v="1142.44"/>
        <n v="28792.38"/>
        <n v="203698.35"/>
        <n v="79607.56"/>
        <n v="25206.06"/>
        <n v="11548.7"/>
        <n v="24610.76"/>
        <n v="165.16"/>
        <n v="35007.760000000002"/>
        <n v="1030.0999999999999"/>
        <n v="964.46"/>
        <n v="2480.7399999999998"/>
        <n v="6185.86"/>
        <n v="1283.96"/>
        <n v="1058.58"/>
        <n v="1790.38"/>
        <n v="1140.3399999999999"/>
        <n v="471.64"/>
        <n v="8422.99"/>
        <n v="87316.62"/>
        <n v="17785.68"/>
        <n v="16466.7"/>
        <n v="8546.74"/>
        <n v="4605.4399999999996"/>
        <n v="88033.5"/>
        <n v="16825.73"/>
        <n v="21756.68"/>
        <n v="27496.720000000001"/>
        <n v="14061.86"/>
        <n v="36498.300000000003"/>
        <n v="480.04"/>
        <n v="11019.18"/>
        <n v="117814.8"/>
        <n v="239.6"/>
        <n v="838.95"/>
        <n v="80883.88"/>
        <n v="120.44"/>
        <n v="19539.62"/>
        <n v="37510.44"/>
        <n v="33245.760000000002"/>
        <n v="8968.5"/>
        <n v="25820.76"/>
        <n v="25827.33"/>
        <n v="676.54"/>
        <n v="488.3"/>
        <n v="1952.48"/>
        <n v="1691.2"/>
        <n v="123731.46"/>
        <n v="156.72"/>
        <n v="1995.16"/>
        <n v="3958.16"/>
        <n v="3890.46"/>
        <n v="120.75"/>
        <n v="49149.2"/>
        <n v="855.96"/>
        <n v="34888.080000000002"/>
        <n v="34796.699999999997"/>
        <n v="547.79"/>
        <n v="2705.3"/>
        <n v="13314.32"/>
        <n v="1167.57"/>
        <n v="6551.23"/>
        <n v="5754.15"/>
        <n v="27165.919999999998"/>
        <n v="38838.15"/>
        <n v="814.5"/>
        <n v="958.29"/>
        <n v="161426.64000000001"/>
        <n v="248.18"/>
        <n v="256.02"/>
        <n v="2273.34"/>
        <n v="8319.89"/>
        <n v="1627.68"/>
        <n v="54585.45"/>
        <n v="46065.84"/>
        <n v="3334.88"/>
        <n v="9435.09"/>
        <n v="693.28"/>
        <n v="2174.96"/>
        <n v="1829.4"/>
        <n v="18307.32"/>
        <n v="25406.86"/>
        <n v="6925.64"/>
        <n v="981.65"/>
        <n v="37761.040000000001"/>
        <n v="323.56"/>
        <n v="9140.25"/>
        <n v="368.38"/>
        <n v="468.04"/>
        <n v="7295.52"/>
        <n v="6439.74"/>
        <n v="67040.36"/>
        <n v="1838.54"/>
        <n v="18642.55"/>
        <n v="11290.62"/>
        <n v="18889.25"/>
        <n v="2468.91"/>
        <n v="73090.92"/>
        <n v="196218.65"/>
        <n v="18319.939999999999"/>
        <n v="219.66"/>
        <n v="2572.6999999999998"/>
        <n v="3787.36"/>
        <n v="26035.94"/>
        <n v="1186.1300000000001"/>
        <n v="17826.89"/>
        <n v="23821.02"/>
        <n v="6468.32"/>
        <n v="514.61"/>
        <n v="11694.84"/>
        <n v="1643.72"/>
        <n v="46400.28"/>
        <n v="925.8"/>
        <n v="2869.11"/>
        <n v="76.94"/>
        <n v="1726.49"/>
        <n v="3351.06"/>
        <n v="125.27"/>
        <n v="382.59"/>
        <n v="3800.25"/>
        <n v="6555.12"/>
        <n v="8388.56"/>
        <n v="21000.06"/>
        <n v="87.91"/>
        <n v="222.6"/>
        <n v="10990.14"/>
        <n v="5912.07"/>
        <n v="2167.88"/>
        <n v="79641.48"/>
        <n v="768.36"/>
        <n v="570.45000000000005"/>
        <n v="914.74"/>
        <n v="224.4"/>
        <n v="58790.94"/>
        <n v="321"/>
        <n v="874.26"/>
        <n v="503.36"/>
        <n v="1084.8599999999999"/>
        <n v="56165.5"/>
        <n v="9184.7199999999993"/>
        <n v="1941.04"/>
        <n v="902.36"/>
        <n v="2448.7800000000002"/>
        <n v="87008.24"/>
        <n v="3526.58"/>
        <n v="2598.5"/>
        <n v="19795.060000000001"/>
        <n v="917.56"/>
        <n v="336"/>
        <n v="95257.2"/>
        <n v="12728.79"/>
        <n v="626.25"/>
        <n v="893.85"/>
        <n v="1275.52"/>
        <n v="302.44"/>
        <n v="13132.18"/>
        <n v="3658.06"/>
        <n v="45767.79"/>
        <n v="23990.58"/>
        <n v="891.64"/>
        <n v="1225.5999999999999"/>
        <n v="147.4"/>
        <n v="1724.48"/>
        <n v="334.16"/>
        <n v="4797.4799999999996"/>
        <n v="10921.3"/>
        <n v="38753.68"/>
        <n v="78870.2"/>
        <n v="384.24"/>
        <n v="232.29"/>
        <n v="218.18"/>
        <n v="3611.16"/>
        <n v="34554.480000000003"/>
        <n v="3505.23"/>
        <n v="1237.3399999999999"/>
        <n v="1230.97"/>
        <n v="44255"/>
        <n v="500.18"/>
        <n v="14295.12"/>
        <n v="339.8"/>
        <n v="17009.52"/>
        <n v="995.96"/>
        <n v="1942.48"/>
        <n v="41211.25"/>
        <n v="354.34"/>
        <n v="3402.48"/>
        <n v="33389.760000000002"/>
        <n v="983.5"/>
        <n v="1123.56"/>
        <n v="337.41"/>
        <n v="26056.58"/>
        <n v="1274.1199999999999"/>
        <n v="479.5"/>
        <n v="361.11"/>
        <n v="288.44"/>
        <n v="32482.35"/>
        <n v="9334.93"/>
        <n v="13097.67"/>
        <n v="1472.04"/>
        <n v="728.52"/>
        <n v="352.57"/>
        <n v="19456.439999999999"/>
        <n v="354.47"/>
        <n v="127973.43"/>
        <n v="89497.3"/>
        <n v="260.02"/>
        <n v="8807.5"/>
        <n v="2421.34"/>
        <n v="1957.47"/>
        <n v="38365.24"/>
        <n v="241.9"/>
        <n v="20402.91"/>
        <n v="9038.25"/>
        <n v="2050.4"/>
        <n v="904.4"/>
        <n v="5371.41"/>
        <n v="344.16"/>
        <n v="173.52"/>
        <n v="244.94"/>
        <n v="86.54"/>
        <n v="940.9"/>
        <n v="2332.44"/>
        <n v="1067.94"/>
        <n v="50316.04"/>
        <n v="6343.79"/>
        <n v="998.12"/>
        <n v="1293.45"/>
        <n v="123792.27"/>
        <n v="12670.32"/>
        <n v="82510.48"/>
        <n v="1061.24"/>
        <n v="6534.39"/>
        <n v="227.68"/>
        <n v="121.26"/>
        <n v="231.9"/>
        <n v="1990.2"/>
        <n v="977.18"/>
        <n v="8532.85"/>
        <n v="1500.24"/>
        <n v="18968.419999999998"/>
        <n v="26732.97"/>
        <n v="1756.82"/>
        <n v="9381.02"/>
        <n v="17309.759999999998"/>
        <n v="3641.02"/>
        <n v="356.86"/>
        <n v="376.2"/>
        <n v="1716.63"/>
        <n v="16476.919999999998"/>
        <n v="12052.28"/>
        <n v="157.78"/>
        <n v="45128.160000000003"/>
        <n v="1827.32"/>
        <n v="67677.119999999995"/>
        <n v="12457.46"/>
        <n v="9285.59"/>
        <n v="2416.5"/>
        <n v="758.02"/>
        <n v="13160.66"/>
        <n v="39664.81"/>
        <n v="248.62"/>
        <n v="19513.97"/>
        <n v="3615.21"/>
        <n v="19116.669999999998"/>
        <n v="326.20999999999998"/>
        <n v="1856.63"/>
        <n v="124.91"/>
        <n v="79.319999999999993"/>
        <n v="11074.16"/>
        <n v="11121.47"/>
        <n v="488.85"/>
        <n v="2492.84"/>
        <n v="1923.11"/>
        <n v="21308.94"/>
        <n v="1496.61"/>
        <n v="8619.61"/>
        <n v="34328.800000000003"/>
        <n v="29915.7"/>
        <n v="9570.11"/>
        <n v="521.08000000000004"/>
        <n v="84542.32"/>
        <n v="12859.24"/>
        <n v="33313.599999999999"/>
        <n v="835.59"/>
        <n v="2845.2"/>
        <n v="171.8"/>
        <n v="382.77"/>
        <n v="148.18"/>
        <n v="2678.16"/>
        <n v="124.53"/>
        <n v="824.84"/>
        <n v="28378.26"/>
        <n v="1222.48"/>
        <n v="263.43"/>
        <n v="127.34"/>
        <n v="3727.54"/>
        <n v="3760.16"/>
        <n v="3302.43"/>
        <n v="227.88"/>
        <n v="9192.4699999999993"/>
        <n v="1137.8599999999999"/>
        <n v="1922.03"/>
        <n v="75831.72"/>
        <n v="2844.24"/>
        <n v="11000.63"/>
        <n v="252.64"/>
        <n v="45566.87"/>
        <n v="935.12"/>
        <n v="169.06"/>
        <n v="2108.56"/>
        <n v="27413.91"/>
        <n v="11177.54"/>
        <n v="45048.6"/>
        <n v="7714.76"/>
        <n v="462.72"/>
        <n v="3369.12"/>
        <n v="25977.78"/>
        <n v="17294.080000000002"/>
        <n v="19681.59"/>
        <n v="13353.44"/>
        <n v="376.35"/>
        <n v="194979.7"/>
        <n v="1983.4"/>
        <n v="2470.41"/>
        <n v="29300.639999999999"/>
        <n v="6113.53"/>
        <n v="3466.1"/>
        <n v="1108.78"/>
        <n v="1709.36"/>
        <n v="1765.58"/>
        <n v="50109.75"/>
        <n v="174"/>
        <n v="18525.55"/>
        <n v="1301.79"/>
        <n v="1747.42"/>
        <n v="85965.22"/>
        <n v="41017.33"/>
        <n v="349.86"/>
        <n v="74.88"/>
        <n v="2528.08"/>
        <n v="6911.17"/>
        <n v="351.44"/>
        <n v="122262.39"/>
        <n v="8168.33"/>
        <n v="1300.3"/>
        <n v="42727.519999999997"/>
        <n v="1958.24"/>
        <n v="2116.7199999999998"/>
        <n v="34007.31"/>
        <n v="9411.9"/>
        <n v="3903.14"/>
        <n v="227.43"/>
        <n v="39896.14"/>
        <n v="236.14"/>
        <n v="373.02"/>
        <n v="48960.87"/>
        <n v="6711.72"/>
        <n v="3550.56"/>
        <n v="19707.830000000002"/>
        <n v="6360.77"/>
        <n v="80548.44"/>
        <n v="43160.800000000003"/>
        <n v="2477.3000000000002"/>
        <n v="118.7"/>
        <n v="12605.36"/>
        <n v="10946.36"/>
        <n v="2273.1"/>
        <n v="1087.29"/>
        <n v="18042.12"/>
        <n v="9408.7900000000009"/>
        <n v="334.33"/>
        <n v="1831.66"/>
        <n v="38736.959999999999"/>
        <n v="22426.560000000001"/>
        <n v="145.58000000000001"/>
        <n v="9617.1200000000008"/>
        <n v="1065.1600000000001"/>
        <n v="25517.279999999999"/>
        <n v="1875.44"/>
        <n v="18523.02"/>
        <n v="2465"/>
        <n v="26210.5"/>
        <n v="28019.79"/>
        <n v="20074.77"/>
        <n v="974.07"/>
        <n v="34599.300000000003"/>
        <n v="1192.01"/>
        <n v="86727.58"/>
        <n v="34821.24"/>
        <n v="2575.75"/>
        <n v="248.68"/>
        <n v="108.85"/>
        <n v="1902.56"/>
        <n v="321.83"/>
        <n v="17003.98"/>
        <n v="12842.91"/>
        <n v="362.65"/>
        <n v="7133.35"/>
        <n v="36943.440000000002"/>
        <n v="18207.57"/>
        <n v="235.36"/>
        <n v="21255.27"/>
        <n v="79780.22"/>
        <n v="230.7"/>
        <n v="1004.82"/>
        <n v="7028.96"/>
        <n v="19849.8"/>
        <n v="27664.92"/>
        <n v="494.43"/>
        <n v="901.86"/>
        <n v="533.07000000000005"/>
        <n v="36784.82"/>
        <n v="108.95"/>
        <n v="38547.620000000003"/>
        <n v="365.65"/>
        <n v="1275.1600000000001"/>
        <n v="535.12"/>
        <n v="349.12"/>
        <n v="19664.32"/>
        <n v="1870.62"/>
        <n v="3728.43"/>
        <n v="3763.64"/>
        <n v="1142.79"/>
        <n v="716.56"/>
        <n v="1673.52"/>
        <n v="3577.88"/>
        <n v="6211.6"/>
        <n v="38169.08"/>
        <n v="3252.78"/>
        <n v="25872.54"/>
        <n v="18844.68"/>
        <n v="18572.080000000002"/>
        <n v="218.19"/>
        <n v="11089.79"/>
        <n v="49102.2"/>
        <n v="1801.52"/>
        <n v="24040"/>
        <n v="245.1"/>
        <n v="7102.67"/>
        <n v="37788.660000000003"/>
        <n v="6661.42"/>
        <n v="675.14"/>
        <n v="2794.08"/>
        <n v="341.66"/>
        <n v="16727.14"/>
        <n v="220.92"/>
        <n v="13771.76"/>
        <n v="909.38"/>
        <n v="27064.080000000002"/>
        <n v="1243.8399999999999"/>
        <n v="114.34"/>
        <n v="1815.96"/>
        <n v="18261.64"/>
        <n v="50321.19"/>
        <n v="12560.78"/>
        <n v="40706.46"/>
        <n v="84.74"/>
        <n v="160.28"/>
        <n v="67210.48"/>
        <n v="1696.74"/>
        <n v="1543.98"/>
        <n v="38255.85"/>
        <n v="8912.0300000000007"/>
        <n v="37018.239999999998"/>
        <n v="370.08"/>
        <n v="326.22000000000003"/>
        <n v="41796.699999999997"/>
        <n v="1621.81"/>
        <n v="1567.77"/>
        <n v="12357.12"/>
        <n v="1724.64"/>
        <n v="82.74"/>
        <n v="2455.84"/>
        <n v="262.02"/>
        <n v="955.34"/>
        <n v="239.37"/>
        <n v="366.35"/>
        <n v="127988.31"/>
        <n v="1411.12"/>
        <n v="34495.199999999997"/>
        <n v="331.72"/>
        <n v="1215.93"/>
        <n v="18453.810000000001"/>
        <n v="86.69"/>
        <n v="668.28"/>
        <n v="123.68"/>
        <n v="372.21"/>
        <n v="1098.5"/>
        <n v="170.14"/>
        <n v="1695.86"/>
        <n v="3356.02"/>
        <n v="36119.800000000003"/>
        <n v="14281.22"/>
        <n v="5746.08"/>
        <n v="326.16000000000003"/>
        <n v="45020.57"/>
        <n v="3682.62"/>
        <n v="918.63"/>
        <n v="945.9"/>
        <n v="11121.32"/>
        <n v="328.23"/>
        <n v="249.02"/>
        <n v="1714.06"/>
        <n v="846.66"/>
        <n v="665.52"/>
        <n v="53423.22"/>
        <n v="381.66"/>
        <n v="134146.04999999999"/>
        <n v="8244.07"/>
        <n v="382.45"/>
        <n v="21179.97"/>
        <n v="716.12"/>
        <n v="95034.1"/>
        <n v="364.25"/>
        <n v="85.05"/>
        <n v="41219.93"/>
        <n v="1881.65"/>
        <n v="22767.72"/>
        <n v="1096.21"/>
        <n v="144.32"/>
        <n v="2614.6799999999998"/>
        <n v="24799.200000000001"/>
        <n v="476.54"/>
        <n v="74531.679999999993"/>
        <n v="1155.7"/>
        <n v="330.55"/>
        <n v="82214.44"/>
        <n v="726.48"/>
        <n v="85.79"/>
        <n v="11241.39"/>
        <n v="18257.080000000002"/>
        <n v="683.32"/>
        <n v="263.77999999999997"/>
        <n v="18244.2"/>
        <n v="3309.33"/>
        <n v="1332.16"/>
        <n v="24715.82"/>
        <n v="733.12"/>
        <n v="7402.44"/>
        <n v="1732.85"/>
        <n v="240.99"/>
        <n v="475.16"/>
        <n v="19572.46"/>
        <n v="18425.169999999998"/>
        <n v="512.65"/>
        <n v="308.8"/>
        <n v="9355.7000000000007"/>
        <n v="704.72"/>
        <n v="8567.65"/>
        <n v="2490.12"/>
        <n v="19068.36"/>
        <n v="125.16"/>
        <n v="240.8"/>
        <n v="953.76"/>
        <n v="36847.660000000003"/>
        <n v="45945.62"/>
        <n v="901.64"/>
        <n v="127.19"/>
        <n v="1899.24"/>
        <n v="332.79"/>
        <n v="2349.6"/>
        <n v="4892.6000000000004"/>
        <n v="874.88"/>
        <n v="112.02"/>
        <n v="87204.62"/>
        <n v="3733.88"/>
        <n v="5714.79"/>
        <n v="237.06"/>
        <n v="82950"/>
        <n v="366.27"/>
        <n v="3829.98"/>
        <n v="451.87"/>
        <n v="4787.1499999999996"/>
        <n v="77.150000000000006"/>
        <n v="41877.11"/>
        <n v="34242.75"/>
        <n v="1940.32"/>
        <n v="218.79"/>
        <n v="78632.44"/>
        <n v="709.8"/>
        <n v="11900.93"/>
        <n v="247.56"/>
        <n v="1688.65"/>
        <n v="23400.3"/>
        <n v="108.83"/>
        <n v="42433.4"/>
        <n v="1113.22"/>
        <n v="8819.64"/>
        <n v="3736.5"/>
        <n v="109.34"/>
        <n v="20862.96"/>
        <n v="42545.27"/>
        <n v="2735.5"/>
        <n v="25099.26"/>
        <n v="9003.2800000000007"/>
        <n v="13395.84"/>
        <n v="26046.42"/>
        <n v="77.13"/>
        <n v="38180.129999999997"/>
        <n v="946.39"/>
        <n v="7661"/>
        <n v="44016.11"/>
        <n v="33417.69"/>
        <n v="326.92"/>
        <n v="3287.96"/>
        <n v="986.36"/>
        <n v="328.92"/>
        <n v="349.3"/>
        <n v="989.28"/>
        <n v="183090.32"/>
        <n v="546.05999999999995"/>
        <n v="3464.92"/>
        <n v="3732.52"/>
        <n v="657.1"/>
        <n v="730.72"/>
        <n v="125.89"/>
        <n v="1894.48"/>
        <n v="12634.08"/>
        <n v="3509.25"/>
        <n v="6381.17"/>
        <n v="17807.939999999999"/>
        <n v="13718.16"/>
        <n v="1007.24"/>
        <n v="159456.24"/>
        <n v="41492.25"/>
        <n v="16396.36"/>
        <n v="935.96"/>
        <n v="149.72"/>
        <n v="173.02"/>
        <n v="2200.94"/>
        <n v="112.1"/>
        <n v="480.81"/>
        <n v="8106.35"/>
        <n v="1072.68"/>
        <n v="1224.02"/>
        <n v="988.59"/>
        <n v="89678.64"/>
        <n v="1722.38"/>
        <n v="293.95999999999998"/>
        <n v="347.96"/>
        <n v="329.63"/>
        <n v="52668.28"/>
        <n v="58246.25"/>
        <n v="2246.36"/>
        <n v="88985.1"/>
        <n v="84.9"/>
        <n v="9089.99"/>
        <n v="1092.02"/>
        <n v="5085.3599999999997"/>
        <n v="170.06"/>
        <n v="144.6"/>
        <n v="26131.41"/>
        <n v="110.8"/>
        <n v="129.05000000000001"/>
        <n v="1902.58"/>
        <n v="4467.92"/>
        <n v="58730.67"/>
        <n v="361.62"/>
        <n v="44235.91"/>
        <n v="6209.64"/>
        <n v="1625.49"/>
        <n v="152.68"/>
        <n v="17419.46"/>
        <n v="38251.919999999998"/>
        <n v="8456.66"/>
        <n v="1908.85"/>
        <n v="2681.31"/>
        <n v="83.19"/>
        <n v="34930.379999999997"/>
        <n v="11047.04"/>
        <n v="54353.64"/>
        <n v="348.77"/>
        <n v="151.56"/>
        <n v="24264.42"/>
        <n v="12753.76"/>
        <n v="849.17"/>
        <n v="3449.88"/>
        <n v="84.71"/>
        <n v="84175.12"/>
        <n v="42504.25"/>
        <n v="352.38"/>
        <n v="327.14"/>
        <n v="1934.18"/>
        <n v="2063.16"/>
        <n v="517.79999999999995"/>
        <n v="237.6"/>
        <n v="25108.38"/>
        <n v="72.61"/>
        <n v="523.02"/>
        <n v="1284.76"/>
        <n v="144.34"/>
        <n v="8163.59"/>
        <n v="2434.98"/>
        <n v="16476.7"/>
        <n v="24376.71"/>
        <n v="1872.28"/>
        <n v="3831.64"/>
        <n v="3360.45"/>
        <n v="41149.46"/>
        <n v="476.26"/>
        <n v="262.16000000000003"/>
        <n v="394.55"/>
        <n v="18303.04"/>
        <n v="1684.76"/>
        <n v="37335.599999999999"/>
        <n v="76555.62"/>
        <n v="12375.35"/>
        <n v="1788.1"/>
        <n v="2604.63"/>
        <n v="109.44"/>
        <n v="5640.8"/>
        <n v="123.44"/>
        <n v="34204.300000000003"/>
        <n v="837.29"/>
        <n v="2353.88"/>
        <n v="1494.63"/>
        <n v="91708.24"/>
        <n v="16835.82"/>
        <n v="492.52"/>
        <n v="43845.81"/>
        <n v="906.11"/>
        <n v="43856.5"/>
        <n v="1084.96"/>
        <n v="12483.11"/>
        <n v="2560.96"/>
        <n v="12730.69"/>
        <n v="23143.64"/>
        <n v="76.38"/>
        <n v="1219.68"/>
        <n v="1081.73"/>
        <n v="2258.96"/>
        <n v="3267.08"/>
        <n v="113.66"/>
        <n v="695"/>
        <n v="56000.639999999999"/>
        <n v="3278.88"/>
        <n v="37860.54"/>
        <n v="2194.02"/>
        <n v="965.14"/>
        <n v="470"/>
        <n v="156070.04"/>
        <n v="3379.8"/>
        <n v="76602.14"/>
        <n v="76.72"/>
        <n v="6964.07"/>
        <n v="131951.70000000001"/>
        <n v="51972.04"/>
        <n v="1360.08"/>
        <n v="6829"/>
        <n v="9898.11"/>
        <n v="1095.28"/>
        <n v="1848.02"/>
        <n v="44124.26"/>
        <n v="218.64"/>
        <n v="145.30000000000001"/>
        <n v="6285.41"/>
        <n v="320.24"/>
        <n v="2412.8000000000002"/>
        <n v="261.39"/>
        <n v="16843.72"/>
        <n v="35973.56"/>
        <n v="1667.52"/>
        <n v="19087.16"/>
        <n v="169.18"/>
        <n v="12694.44"/>
        <n v="24555.51"/>
        <n v="936.46"/>
        <n v="213130.05"/>
        <n v="481.69"/>
        <n v="379.43"/>
        <n v="1885.86"/>
        <n v="25437.96"/>
        <n v="42428.06"/>
        <n v="18389.34"/>
        <n v="44935.39"/>
        <n v="160.36000000000001"/>
        <n v="72.2"/>
        <n v="19282.47"/>
        <n v="1855.84"/>
        <n v="6030.35"/>
        <n v="229.12"/>
        <n v="119.77"/>
        <n v="905.36"/>
        <n v="1723.56"/>
        <n v="5480.05"/>
        <n v="17913.740000000002"/>
        <n v="117503.76"/>
        <n v="1750.02"/>
        <n v="640.76"/>
        <n v="337.13"/>
        <n v="745.26"/>
        <n v="129.86000000000001"/>
        <n v="26171.98"/>
        <n v="16672.439999999999"/>
        <n v="4893.76"/>
        <n v="1416.72"/>
        <n v="5952.19"/>
        <n v="110.59"/>
        <n v="8642.9599999999991"/>
        <n v="44973.919999999998"/>
        <n v="85.68"/>
        <n v="18281.28"/>
        <n v="365.77"/>
        <n v="12416.46"/>
        <n v="322.89999999999998"/>
        <n v="3500.1"/>
        <n v="17845"/>
        <n v="44351.65"/>
        <n v="1657.86"/>
        <n v="262.92"/>
        <n v="85.5"/>
        <n v="1528.08"/>
        <n v="65850.3"/>
        <n v="17030.96"/>
        <n v="2626.6"/>
        <n v="10983.64"/>
        <n v="1801.72"/>
        <n v="17332.41"/>
        <n v="739.12"/>
        <n v="26932.26"/>
        <n v="3521.8"/>
        <n v="38178.99"/>
        <n v="39542"/>
        <n v="825.29"/>
        <n v="76227.94"/>
        <n v="904.44"/>
        <n v="49680.6"/>
        <n v="76.790000000000006"/>
        <n v="5911.79"/>
        <n v="1378.41"/>
        <n v="247.26"/>
        <n v="6176.64"/>
        <n v="937.3"/>
        <n v="501.76"/>
        <n v="6740.9"/>
        <n v="884.24"/>
        <n v="111.6"/>
        <n v="259.48"/>
        <n v="16833.54"/>
        <n v="171.74"/>
        <n v="1420.8"/>
        <n v="52142.92"/>
        <n v="81.349999999999994"/>
        <n v="19691.72"/>
        <n v="147.62"/>
        <n v="155.76"/>
        <n v="909.49"/>
        <n v="1298.3499999999999"/>
        <n v="9702.44"/>
        <n v="58757.34"/>
        <n v="3604.56"/>
        <n v="129562.59"/>
        <n v="12515.68"/>
        <n v="5600.61"/>
        <n v="9167.44"/>
        <n v="86.02"/>
        <n v="717.72"/>
        <n v="1842.48"/>
        <n v="12524.6"/>
        <n v="544.61"/>
        <n v="3388.76"/>
        <n v="326.07"/>
        <n v="23799.18"/>
        <n v="20312.97"/>
        <n v="45620.94"/>
        <n v="672.36"/>
        <n v="11207.68"/>
        <n v="236.79"/>
        <n v="29301.69"/>
        <n v="462.28"/>
        <n v="1685.93"/>
        <n v="1165.56"/>
        <n v="1849.48"/>
        <n v="18587.3"/>
        <n v="20189.939999999999"/>
        <n v="174.44"/>
        <n v="990.82"/>
        <n v="1783.12"/>
        <n v="953.67"/>
        <n v="9837.09"/>
        <n v="344.52"/>
        <n v="390.36"/>
        <n v="54136.65"/>
        <n v="25231.16"/>
        <n v="120.32"/>
        <n v="1650.22"/>
        <n v="3456.3"/>
        <n v="318.16000000000003"/>
        <n v="2868.93"/>
        <n v="53599.08"/>
        <n v="508.72"/>
        <n v="6821.14"/>
        <n v="37911.760000000002"/>
        <n v="19706.12"/>
        <n v="1660.29"/>
        <n v="853.52"/>
        <n v="1181.25"/>
        <n v="128147.7"/>
        <n v="44920.09"/>
        <n v="958.16"/>
        <n v="355.35"/>
        <n v="2470.16"/>
        <n v="484.38"/>
        <n v="1150.4100000000001"/>
        <n v="12457.67"/>
        <n v="3312.66"/>
        <n v="316.27"/>
        <n v="121910.91"/>
        <n v="1161.68"/>
        <n v="644.58000000000004"/>
        <n v="25720.26"/>
        <n v="3867.02"/>
        <n v="3311.49"/>
        <n v="6323.05"/>
        <n v="1754.08"/>
        <n v="333.93"/>
        <n v="316.32"/>
        <n v="84.36"/>
        <n v="230162"/>
        <n v="2901.72"/>
        <n v="650.55999999999995"/>
        <n v="387.42"/>
        <n v="1674.35"/>
        <n v="815.02"/>
        <n v="1001.06"/>
        <n v="18543.46"/>
        <n v="21407.1"/>
        <n v="19134.28"/>
        <n v="18296.53"/>
      </sharedItems>
    </cacheField>
    <cacheField name="Profit" numFmtId="0">
      <sharedItems containsSemiMixedTypes="0" containsString="0" containsNumber="1" minValue="9.83" maxValue="59906.62"/>
    </cacheField>
    <cacheField name="Months (Order_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 name="Years (Order_Date)" numFmtId="0" databaseField="0">
      <fieldGroup base="1">
        <rangePr groupBy="years" startDate="2025-01-01T00:00:00" endDate="2026-01-01T00:00:00"/>
        <groupItems count="4">
          <s v="&lt;01-01-2025"/>
          <s v="2025"/>
          <s v="2026"/>
          <s v="&gt;01-01-2026"/>
        </groupItems>
      </fieldGroup>
    </cacheField>
  </cacheFields>
  <extLst>
    <ext xmlns:x14="http://schemas.microsoft.com/office/spreadsheetml/2009/9/main" uri="{725AE2AE-9491-48be-B2B4-4EB974FC3084}">
      <x14:pivotCacheDefinition pivotCacheId="974997906"/>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x v="0"/>
    <s v="Smartphone"/>
    <x v="0"/>
    <x v="0"/>
    <s v="Online"/>
    <s v="Net Banking"/>
    <n v="1"/>
    <n v="17190.11"/>
    <x v="0"/>
    <n v="5534.62"/>
  </r>
  <r>
    <s v="ORD0002"/>
    <x v="1"/>
    <s v="Laptop"/>
    <x v="0"/>
    <x v="0"/>
    <s v="Online"/>
    <s v="Net Banking"/>
    <n v="1"/>
    <n v="39636.559999999998"/>
    <x v="1"/>
    <n v="9853.9500000000007"/>
  </r>
  <r>
    <s v="ORD0003"/>
    <x v="2"/>
    <s v="Office Chair"/>
    <x v="1"/>
    <x v="1"/>
    <s v="In-Store"/>
    <s v="Debit Card"/>
    <n v="2"/>
    <n v="6211.65"/>
    <x v="2"/>
    <n v="1912.96"/>
  </r>
  <r>
    <s v="ORD0004"/>
    <x v="3"/>
    <s v="Headphones"/>
    <x v="0"/>
    <x v="2"/>
    <s v="Online"/>
    <s v="Debit Card"/>
    <n v="1"/>
    <n v="1894.86"/>
    <x v="3"/>
    <n v="669.69"/>
  </r>
  <r>
    <s v="ORD0005"/>
    <x v="4"/>
    <s v="Monitor"/>
    <x v="0"/>
    <x v="0"/>
    <s v="In-Store"/>
    <s v="UPI"/>
    <n v="1"/>
    <n v="10904.28"/>
    <x v="4"/>
    <n v="2841.11"/>
  </r>
  <r>
    <s v="ORD0006"/>
    <x v="5"/>
    <s v="Desk"/>
    <x v="1"/>
    <x v="3"/>
    <s v="Online"/>
    <s v="UPI"/>
    <n v="3"/>
    <n v="9213.34"/>
    <x v="5"/>
    <n v="4310.63"/>
  </r>
  <r>
    <s v="ORD0007"/>
    <x v="6"/>
    <s v="Keyboard"/>
    <x v="0"/>
    <x v="1"/>
    <s v="Online"/>
    <s v="Cash"/>
    <n v="1"/>
    <n v="862.09"/>
    <x v="6"/>
    <n v="309.70999999999998"/>
  </r>
  <r>
    <s v="ORD0008"/>
    <x v="3"/>
    <s v="Backpack"/>
    <x v="2"/>
    <x v="1"/>
    <s v="In-Store"/>
    <s v="UPI"/>
    <n v="2"/>
    <n v="1167.56"/>
    <x v="7"/>
    <n v="662.6"/>
  </r>
  <r>
    <s v="ORD0009"/>
    <x v="7"/>
    <s v="Keyboard"/>
    <x v="0"/>
    <x v="2"/>
    <s v="In-Store"/>
    <s v="Net Banking"/>
    <n v="1"/>
    <n v="941.24"/>
    <x v="8"/>
    <n v="317.68"/>
  </r>
  <r>
    <s v="ORD0010"/>
    <x v="8"/>
    <s v="Keyboard"/>
    <x v="0"/>
    <x v="0"/>
    <s v="In-Store"/>
    <s v="Cash"/>
    <n v="1"/>
    <n v="948.3"/>
    <x v="9"/>
    <n v="346.56"/>
  </r>
  <r>
    <s v="ORD0011"/>
    <x v="9"/>
    <s v="Smartphone"/>
    <x v="0"/>
    <x v="4"/>
    <s v="Online"/>
    <s v="Cash"/>
    <n v="1"/>
    <n v="19594.47"/>
    <x v="10"/>
    <n v="2981.19"/>
  </r>
  <r>
    <s v="ORD0012"/>
    <x v="10"/>
    <s v="Keyboard"/>
    <x v="0"/>
    <x v="3"/>
    <s v="In-Store"/>
    <s v="Net Banking"/>
    <n v="2"/>
    <n v="857.68"/>
    <x v="11"/>
    <n v="541.84"/>
  </r>
  <r>
    <s v="ORD0013"/>
    <x v="11"/>
    <s v="Monitor"/>
    <x v="0"/>
    <x v="3"/>
    <s v="In-Store"/>
    <s v="UPI"/>
    <n v="1"/>
    <n v="11326.37"/>
    <x v="12"/>
    <n v="1366.42"/>
  </r>
  <r>
    <s v="ORD0014"/>
    <x v="12"/>
    <s v="Smartphone"/>
    <x v="0"/>
    <x v="3"/>
    <s v="Online"/>
    <s v="Cash"/>
    <n v="1"/>
    <n v="16775.939999999999"/>
    <x v="13"/>
    <n v="3406.77"/>
  </r>
  <r>
    <s v="ORD0015"/>
    <x v="13"/>
    <s v="Monitor"/>
    <x v="0"/>
    <x v="0"/>
    <s v="Online"/>
    <s v="Net Banking"/>
    <n v="5"/>
    <n v="12069.87"/>
    <x v="14"/>
    <n v="7695.73"/>
  </r>
  <r>
    <s v="ORD0016"/>
    <x v="14"/>
    <s v="Keyboard"/>
    <x v="0"/>
    <x v="0"/>
    <s v="In-Store"/>
    <s v="Net Banking"/>
    <n v="1"/>
    <n v="862.83"/>
    <x v="15"/>
    <n v="292.39"/>
  </r>
  <r>
    <s v="ORD0017"/>
    <x v="15"/>
    <s v="Water Bottle"/>
    <x v="2"/>
    <x v="3"/>
    <s v="Online"/>
    <s v="Credit Card"/>
    <n v="4"/>
    <n v="375.94"/>
    <x v="16"/>
    <n v="454.74"/>
  </r>
  <r>
    <s v="ORD0018"/>
    <x v="16"/>
    <s v="Headphones"/>
    <x v="0"/>
    <x v="0"/>
    <s v="In-Store"/>
    <s v="Cash"/>
    <n v="2"/>
    <n v="1900.31"/>
    <x v="17"/>
    <n v="920.16"/>
  </r>
  <r>
    <s v="ORD0019"/>
    <x v="17"/>
    <s v="Smartphone"/>
    <x v="0"/>
    <x v="4"/>
    <s v="Online"/>
    <s v="UPI"/>
    <n v="4"/>
    <n v="19363.400000000001"/>
    <x v="18"/>
    <n v="12684.34"/>
  </r>
  <r>
    <s v="ORD0020"/>
    <x v="18"/>
    <s v="Monitor"/>
    <x v="0"/>
    <x v="0"/>
    <s v="Online"/>
    <s v="Credit Card"/>
    <n v="4"/>
    <n v="11005.57"/>
    <x v="19"/>
    <n v="11165.92"/>
  </r>
  <r>
    <s v="ORD0021"/>
    <x v="19"/>
    <s v="Backpack"/>
    <x v="2"/>
    <x v="3"/>
    <s v="In-Store"/>
    <s v="Credit Card"/>
    <n v="4"/>
    <n v="1119.6300000000001"/>
    <x v="20"/>
    <n v="1087.4100000000001"/>
  </r>
  <r>
    <s v="ORD0022"/>
    <x v="20"/>
    <s v="Mouse"/>
    <x v="0"/>
    <x v="4"/>
    <s v="In-Store"/>
    <s v="Net Banking"/>
    <n v="2"/>
    <n v="521.29"/>
    <x v="21"/>
    <n v="288.02999999999997"/>
  </r>
  <r>
    <s v="ORD0023"/>
    <x v="21"/>
    <s v="Smartphone"/>
    <x v="0"/>
    <x v="3"/>
    <s v="Online"/>
    <s v="Net Banking"/>
    <n v="1"/>
    <n v="16430.490000000002"/>
    <x v="22"/>
    <n v="6153.73"/>
  </r>
  <r>
    <s v="ORD0024"/>
    <x v="8"/>
    <s v="Laptop"/>
    <x v="0"/>
    <x v="0"/>
    <s v="In-Store"/>
    <s v="UPI"/>
    <n v="1"/>
    <n v="43101.26"/>
    <x v="23"/>
    <n v="13812.88"/>
  </r>
  <r>
    <s v="ORD0025"/>
    <x v="22"/>
    <s v="Office Chair"/>
    <x v="1"/>
    <x v="3"/>
    <s v="In-Store"/>
    <s v="Credit Card"/>
    <n v="1"/>
    <n v="6481.04"/>
    <x v="24"/>
    <n v="1554.15"/>
  </r>
  <r>
    <s v="ORD0026"/>
    <x v="23"/>
    <s v="Pen Pack"/>
    <x v="3"/>
    <x v="2"/>
    <s v="In-Store"/>
    <s v="Cash"/>
    <n v="1"/>
    <n v="110.33"/>
    <x v="25"/>
    <n v="29.56"/>
  </r>
  <r>
    <s v="ORD0027"/>
    <x v="24"/>
    <s v="Keyboard"/>
    <x v="0"/>
    <x v="4"/>
    <s v="Online"/>
    <s v="Credit Card"/>
    <n v="2"/>
    <n v="926.31"/>
    <x v="26"/>
    <n v="674.8"/>
  </r>
  <r>
    <s v="ORD0028"/>
    <x v="25"/>
    <s v="Office Chair"/>
    <x v="1"/>
    <x v="2"/>
    <s v="Online"/>
    <s v="UPI"/>
    <n v="2"/>
    <n v="6032.24"/>
    <x v="27"/>
    <n v="4008.94"/>
  </r>
  <r>
    <s v="ORD0029"/>
    <x v="26"/>
    <s v="Water Bottle"/>
    <x v="2"/>
    <x v="0"/>
    <s v="Online"/>
    <s v="Credit Card"/>
    <n v="1"/>
    <n v="360.65"/>
    <x v="28"/>
    <n v="86.36"/>
  </r>
  <r>
    <s v="ORD0030"/>
    <x v="27"/>
    <s v="Pen Pack"/>
    <x v="3"/>
    <x v="0"/>
    <s v="Online"/>
    <s v="Cash"/>
    <n v="2"/>
    <n v="113.13"/>
    <x v="29"/>
    <n v="62.39"/>
  </r>
  <r>
    <s v="ORD0031"/>
    <x v="28"/>
    <s v="Pen Pack"/>
    <x v="3"/>
    <x v="2"/>
    <s v="In-Store"/>
    <s v="Credit Card"/>
    <n v="1"/>
    <n v="126.82"/>
    <x v="30"/>
    <n v="33.19"/>
  </r>
  <r>
    <s v="ORD0032"/>
    <x v="29"/>
    <s v="Desk"/>
    <x v="1"/>
    <x v="0"/>
    <s v="In-Store"/>
    <s v="UPI"/>
    <n v="1"/>
    <n v="8205.27"/>
    <x v="31"/>
    <n v="1548.4"/>
  </r>
  <r>
    <s v="ORD0033"/>
    <x v="30"/>
    <s v="Monitor"/>
    <x v="0"/>
    <x v="0"/>
    <s v="Online"/>
    <s v="Credit Card"/>
    <n v="2"/>
    <n v="13006.53"/>
    <x v="32"/>
    <n v="6292.75"/>
  </r>
  <r>
    <s v="ORD0034"/>
    <x v="31"/>
    <s v="Monitor"/>
    <x v="0"/>
    <x v="3"/>
    <s v="Online"/>
    <s v="Net Banking"/>
    <n v="1"/>
    <n v="12868.37"/>
    <x v="33"/>
    <n v="3539.04"/>
  </r>
  <r>
    <s v="ORD0035"/>
    <x v="32"/>
    <s v="Laptop"/>
    <x v="0"/>
    <x v="3"/>
    <s v="In-Store"/>
    <s v="Debit Card"/>
    <n v="2"/>
    <n v="41321.49"/>
    <x v="34"/>
    <n v="18862.86"/>
  </r>
  <r>
    <s v="ORD0036"/>
    <x v="33"/>
    <s v="Keyboard"/>
    <x v="0"/>
    <x v="4"/>
    <s v="In-Store"/>
    <s v="Debit Card"/>
    <n v="3"/>
    <n v="852.96"/>
    <x v="35"/>
    <n v="709.05"/>
  </r>
  <r>
    <s v="ORD0037"/>
    <x v="34"/>
    <s v="Laptop"/>
    <x v="0"/>
    <x v="0"/>
    <s v="Online"/>
    <s v="Net Banking"/>
    <n v="2"/>
    <n v="46187.02"/>
    <x v="36"/>
    <n v="11178.64"/>
  </r>
  <r>
    <s v="ORD0038"/>
    <x v="35"/>
    <s v="Headphones"/>
    <x v="0"/>
    <x v="4"/>
    <s v="In-Store"/>
    <s v="Credit Card"/>
    <n v="4"/>
    <n v="1937.11"/>
    <x v="37"/>
    <n v="1173.03"/>
  </r>
  <r>
    <s v="ORD0039"/>
    <x v="36"/>
    <s v="Water Bottle"/>
    <x v="2"/>
    <x v="3"/>
    <s v="Online"/>
    <s v="Net Banking"/>
    <n v="3"/>
    <n v="357.82"/>
    <x v="38"/>
    <n v="132.38"/>
  </r>
  <r>
    <s v="ORD0040"/>
    <x v="37"/>
    <s v="Keyboard"/>
    <x v="0"/>
    <x v="0"/>
    <s v="Online"/>
    <s v="Debit Card"/>
    <n v="1"/>
    <n v="968.06"/>
    <x v="39"/>
    <n v="301.3"/>
  </r>
  <r>
    <s v="ORD0041"/>
    <x v="38"/>
    <s v="Monitor"/>
    <x v="0"/>
    <x v="4"/>
    <s v="In-Store"/>
    <s v="Debit Card"/>
    <n v="1"/>
    <n v="11622.91"/>
    <x v="40"/>
    <n v="2339.12"/>
  </r>
  <r>
    <s v="ORD0042"/>
    <x v="39"/>
    <s v="Smartphone"/>
    <x v="0"/>
    <x v="4"/>
    <s v="Online"/>
    <s v="Debit Card"/>
    <n v="2"/>
    <n v="19185.650000000001"/>
    <x v="41"/>
    <n v="14141.26"/>
  </r>
  <r>
    <s v="ORD0043"/>
    <x v="40"/>
    <s v="Mouse"/>
    <x v="0"/>
    <x v="0"/>
    <s v="Online"/>
    <s v="Credit Card"/>
    <n v="2"/>
    <n v="520.57000000000005"/>
    <x v="42"/>
    <n v="243.8"/>
  </r>
  <r>
    <s v="ORD0044"/>
    <x v="41"/>
    <s v="Laptop"/>
    <x v="0"/>
    <x v="1"/>
    <s v="Online"/>
    <s v="Debit Card"/>
    <n v="3"/>
    <n v="42693.08"/>
    <x v="43"/>
    <n v="43738.5"/>
  </r>
  <r>
    <s v="ORD0045"/>
    <x v="42"/>
    <s v="Laptop"/>
    <x v="0"/>
    <x v="0"/>
    <s v="In-Store"/>
    <s v="Net Banking"/>
    <n v="4"/>
    <n v="39564.639999999999"/>
    <x v="44"/>
    <n v="49870.8"/>
  </r>
  <r>
    <s v="ORD0046"/>
    <x v="43"/>
    <s v="Monitor"/>
    <x v="0"/>
    <x v="1"/>
    <s v="Online"/>
    <s v="Cash"/>
    <n v="3"/>
    <n v="13021.83"/>
    <x v="45"/>
    <n v="12440.34"/>
  </r>
  <r>
    <s v="ORD0047"/>
    <x v="44"/>
    <s v="Headphones"/>
    <x v="0"/>
    <x v="1"/>
    <s v="In-Store"/>
    <s v="Credit Card"/>
    <n v="3"/>
    <n v="1739.59"/>
    <x v="46"/>
    <n v="720.13"/>
  </r>
  <r>
    <s v="ORD0048"/>
    <x v="45"/>
    <s v="Smartphone"/>
    <x v="0"/>
    <x v="1"/>
    <s v="In-Store"/>
    <s v="Debit Card"/>
    <n v="1"/>
    <n v="16339.41"/>
    <x v="47"/>
    <n v="4209.37"/>
  </r>
  <r>
    <s v="ORD0049"/>
    <x v="46"/>
    <s v="Office Chair"/>
    <x v="1"/>
    <x v="4"/>
    <s v="Online"/>
    <s v="Debit Card"/>
    <n v="1"/>
    <n v="6708.04"/>
    <x v="48"/>
    <n v="1854.09"/>
  </r>
  <r>
    <s v="ORD0050"/>
    <x v="47"/>
    <s v="Keyboard"/>
    <x v="0"/>
    <x v="4"/>
    <s v="Online"/>
    <s v="UPI"/>
    <n v="2"/>
    <n v="932.31"/>
    <x v="49"/>
    <n v="299.55"/>
  </r>
  <r>
    <s v="ORD0051"/>
    <x v="48"/>
    <s v="Headphones"/>
    <x v="0"/>
    <x v="3"/>
    <s v="In-Store"/>
    <s v="Debit Card"/>
    <n v="2"/>
    <n v="1974.08"/>
    <x v="50"/>
    <n v="1461.03"/>
  </r>
  <r>
    <s v="ORD0052"/>
    <x v="49"/>
    <s v="Pen Pack"/>
    <x v="3"/>
    <x v="3"/>
    <s v="Online"/>
    <s v="Debit Card"/>
    <n v="2"/>
    <n v="120.27"/>
    <x v="51"/>
    <n v="67.31"/>
  </r>
  <r>
    <s v="ORD0053"/>
    <x v="50"/>
    <s v="Mouse"/>
    <x v="0"/>
    <x v="1"/>
    <s v="In-Store"/>
    <s v="Cash"/>
    <n v="2"/>
    <n v="501.99"/>
    <x v="52"/>
    <n v="170.98"/>
  </r>
  <r>
    <s v="ORD0054"/>
    <x v="31"/>
    <s v="Keyboard"/>
    <x v="0"/>
    <x v="0"/>
    <s v="In-Store"/>
    <s v="Net Banking"/>
    <n v="4"/>
    <n v="922.17"/>
    <x v="53"/>
    <n v="765.47"/>
  </r>
  <r>
    <s v="ORD0055"/>
    <x v="51"/>
    <s v="Keyboard"/>
    <x v="0"/>
    <x v="1"/>
    <s v="Online"/>
    <s v="Cash"/>
    <n v="1"/>
    <n v="882.43"/>
    <x v="54"/>
    <n v="267.49"/>
  </r>
  <r>
    <s v="ORD0056"/>
    <x v="52"/>
    <s v="Pen Pack"/>
    <x v="3"/>
    <x v="4"/>
    <s v="In-Store"/>
    <s v="Net Banking"/>
    <n v="2"/>
    <n v="129.66999999999999"/>
    <x v="55"/>
    <n v="57.05"/>
  </r>
  <r>
    <s v="ORD0057"/>
    <x v="53"/>
    <s v="Desk"/>
    <x v="1"/>
    <x v="4"/>
    <s v="In-Store"/>
    <s v="Cash"/>
    <n v="1"/>
    <n v="8873.7999999999993"/>
    <x v="56"/>
    <n v="2033.91"/>
  </r>
  <r>
    <s v="ORD0058"/>
    <x v="26"/>
    <s v="Keyboard"/>
    <x v="0"/>
    <x v="1"/>
    <s v="Online"/>
    <s v="Debit Card"/>
    <n v="1"/>
    <n v="895.17"/>
    <x v="57"/>
    <n v="130.41999999999999"/>
  </r>
  <r>
    <s v="ORD0059"/>
    <x v="22"/>
    <s v="Keyboard"/>
    <x v="0"/>
    <x v="1"/>
    <s v="In-Store"/>
    <s v="Credit Card"/>
    <n v="2"/>
    <n v="870.33"/>
    <x v="58"/>
    <n v="291.06"/>
  </r>
  <r>
    <s v="ORD0060"/>
    <x v="54"/>
    <s v="Headphones"/>
    <x v="0"/>
    <x v="0"/>
    <s v="In-Store"/>
    <s v="Cash"/>
    <n v="1"/>
    <n v="1708.14"/>
    <x v="59"/>
    <n v="438.08"/>
  </r>
  <r>
    <s v="ORD0061"/>
    <x v="55"/>
    <s v="Monitor"/>
    <x v="0"/>
    <x v="1"/>
    <s v="Online"/>
    <s v="UPI"/>
    <n v="1"/>
    <n v="12471.25"/>
    <x v="60"/>
    <n v="3136.04"/>
  </r>
  <r>
    <s v="ORD0062"/>
    <x v="56"/>
    <s v="Pen Pack"/>
    <x v="3"/>
    <x v="2"/>
    <s v="Online"/>
    <s v="Net Banking"/>
    <n v="1"/>
    <n v="127.3"/>
    <x v="61"/>
    <n v="25.34"/>
  </r>
  <r>
    <s v="ORD0063"/>
    <x v="57"/>
    <s v="Smartphone"/>
    <x v="0"/>
    <x v="3"/>
    <s v="In-Store"/>
    <s v="Cash"/>
    <n v="2"/>
    <n v="19085.099999999999"/>
    <x v="62"/>
    <n v="7879.47"/>
  </r>
  <r>
    <s v="ORD0064"/>
    <x v="58"/>
    <s v="Mouse"/>
    <x v="0"/>
    <x v="2"/>
    <s v="Online"/>
    <s v="Cash"/>
    <n v="4"/>
    <n v="492.67"/>
    <x v="63"/>
    <n v="284.20999999999998"/>
  </r>
  <r>
    <s v="ORD0065"/>
    <x v="59"/>
    <s v="Desk"/>
    <x v="1"/>
    <x v="3"/>
    <s v="In-Store"/>
    <s v="Credit Card"/>
    <n v="3"/>
    <n v="9611.75"/>
    <x v="64"/>
    <n v="8878.35"/>
  </r>
  <r>
    <s v="ORD0066"/>
    <x v="60"/>
    <s v="Backpack"/>
    <x v="2"/>
    <x v="4"/>
    <s v="Online"/>
    <s v="Credit Card"/>
    <n v="1"/>
    <n v="1148.57"/>
    <x v="65"/>
    <n v="355.31"/>
  </r>
  <r>
    <s v="ORD0067"/>
    <x v="61"/>
    <s v="Office Chair"/>
    <x v="1"/>
    <x v="2"/>
    <s v="In-Store"/>
    <s v="Debit Card"/>
    <n v="1"/>
    <n v="6048.65"/>
    <x v="66"/>
    <n v="1962.01"/>
  </r>
  <r>
    <s v="ORD0068"/>
    <x v="62"/>
    <s v="Backpack"/>
    <x v="2"/>
    <x v="3"/>
    <s v="Online"/>
    <s v="Net Banking"/>
    <n v="1"/>
    <n v="1129.6400000000001"/>
    <x v="67"/>
    <n v="305.86"/>
  </r>
  <r>
    <s v="ORD0069"/>
    <x v="63"/>
    <s v="Backpack"/>
    <x v="2"/>
    <x v="2"/>
    <s v="Online"/>
    <s v="Cash"/>
    <n v="1"/>
    <n v="1164.42"/>
    <x v="68"/>
    <n v="214.37"/>
  </r>
  <r>
    <s v="ORD0070"/>
    <x v="8"/>
    <s v="Desk"/>
    <x v="1"/>
    <x v="2"/>
    <s v="Online"/>
    <s v="Cash"/>
    <n v="2"/>
    <n v="8152.24"/>
    <x v="69"/>
    <n v="4770.79"/>
  </r>
  <r>
    <s v="ORD0071"/>
    <x v="64"/>
    <s v="Monitor"/>
    <x v="0"/>
    <x v="0"/>
    <s v="Online"/>
    <s v="Cash"/>
    <n v="2"/>
    <n v="12976.63"/>
    <x v="70"/>
    <n v="5868.24"/>
  </r>
  <r>
    <s v="ORD0072"/>
    <x v="65"/>
    <s v="Backpack"/>
    <x v="2"/>
    <x v="2"/>
    <s v="In-Store"/>
    <s v="Debit Card"/>
    <n v="1"/>
    <n v="1142.44"/>
    <x v="71"/>
    <n v="336.89"/>
  </r>
  <r>
    <s v="ORD0073"/>
    <x v="63"/>
    <s v="Desk"/>
    <x v="1"/>
    <x v="0"/>
    <s v="In-Store"/>
    <s v="UPI"/>
    <n v="3"/>
    <n v="9597.4599999999991"/>
    <x v="72"/>
    <n v="9052.59"/>
  </r>
  <r>
    <s v="ORD0074"/>
    <x v="20"/>
    <s v="Laptop"/>
    <x v="0"/>
    <x v="0"/>
    <s v="Online"/>
    <s v="Credit Card"/>
    <n v="5"/>
    <n v="40739.67"/>
    <x v="73"/>
    <n v="42972.72"/>
  </r>
  <r>
    <s v="ORD0075"/>
    <x v="66"/>
    <s v="Laptop"/>
    <x v="0"/>
    <x v="0"/>
    <s v="Online"/>
    <s v="Cash"/>
    <n v="2"/>
    <n v="39803.78"/>
    <x v="74"/>
    <n v="20449.12"/>
  </r>
  <r>
    <s v="ORD0076"/>
    <x v="67"/>
    <s v="Desk"/>
    <x v="1"/>
    <x v="0"/>
    <s v="Online"/>
    <s v="Debit Card"/>
    <n v="3"/>
    <n v="8402.02"/>
    <x v="75"/>
    <n v="5598.66"/>
  </r>
  <r>
    <s v="ORD0077"/>
    <x v="68"/>
    <s v="Monitor"/>
    <x v="0"/>
    <x v="2"/>
    <s v="In-Store"/>
    <s v="Credit Card"/>
    <n v="1"/>
    <n v="11548.7"/>
    <x v="76"/>
    <n v="2354.66"/>
  </r>
  <r>
    <s v="ORD0078"/>
    <x v="69"/>
    <s v="Monitor"/>
    <x v="0"/>
    <x v="4"/>
    <s v="Online"/>
    <s v="Net Banking"/>
    <n v="2"/>
    <n v="12305.38"/>
    <x v="77"/>
    <n v="8700.0400000000009"/>
  </r>
  <r>
    <s v="ORD0079"/>
    <x v="70"/>
    <s v="Notebook"/>
    <x v="3"/>
    <x v="4"/>
    <s v="Online"/>
    <s v="Cash"/>
    <n v="2"/>
    <n v="82.58"/>
    <x v="78"/>
    <n v="59.8"/>
  </r>
  <r>
    <s v="ORD0080"/>
    <x v="71"/>
    <s v="Smartphone"/>
    <x v="0"/>
    <x v="2"/>
    <s v="Online"/>
    <s v="Cash"/>
    <n v="2"/>
    <n v="17503.88"/>
    <x v="79"/>
    <n v="5187.82"/>
  </r>
  <r>
    <s v="ORD0081"/>
    <x v="72"/>
    <s v="Mouse"/>
    <x v="0"/>
    <x v="3"/>
    <s v="In-Store"/>
    <s v="Cash"/>
    <n v="2"/>
    <n v="515.04999999999995"/>
    <x v="80"/>
    <n v="226.48"/>
  </r>
  <r>
    <s v="ORD0082"/>
    <x v="73"/>
    <s v="Mouse"/>
    <x v="0"/>
    <x v="0"/>
    <s v="In-Store"/>
    <s v="Cash"/>
    <n v="2"/>
    <n v="482.23"/>
    <x v="81"/>
    <n v="304.93"/>
  </r>
  <r>
    <s v="ORD0083"/>
    <x v="74"/>
    <s v="Backpack"/>
    <x v="2"/>
    <x v="2"/>
    <s v="In-Store"/>
    <s v="Credit Card"/>
    <n v="2"/>
    <n v="1240.3699999999999"/>
    <x v="82"/>
    <n v="725.71"/>
  </r>
  <r>
    <s v="ORD0084"/>
    <x v="75"/>
    <s v="Office Chair"/>
    <x v="1"/>
    <x v="3"/>
    <s v="In-Store"/>
    <s v="Net Banking"/>
    <n v="1"/>
    <n v="6185.86"/>
    <x v="83"/>
    <n v="1900.85"/>
  </r>
  <r>
    <s v="ORD0085"/>
    <x v="76"/>
    <s v="Water Bottle"/>
    <x v="2"/>
    <x v="2"/>
    <s v="Online"/>
    <s v="Cash"/>
    <n v="4"/>
    <n v="320.99"/>
    <x v="84"/>
    <n v="247.52"/>
  </r>
  <r>
    <s v="ORD0086"/>
    <x v="77"/>
    <s v="Mouse"/>
    <x v="0"/>
    <x v="1"/>
    <s v="In-Store"/>
    <s v="Credit Card"/>
    <n v="2"/>
    <n v="529.29"/>
    <x v="85"/>
    <n v="376.65"/>
  </r>
  <r>
    <s v="ORD0087"/>
    <x v="46"/>
    <s v="Keyboard"/>
    <x v="0"/>
    <x v="2"/>
    <s v="In-Store"/>
    <s v="Debit Card"/>
    <n v="2"/>
    <n v="895.19"/>
    <x v="86"/>
    <n v="433.2"/>
  </r>
  <r>
    <s v="ORD0088"/>
    <x v="45"/>
    <s v="Backpack"/>
    <x v="2"/>
    <x v="1"/>
    <s v="In-Store"/>
    <s v="UPI"/>
    <n v="1"/>
    <n v="1140.3399999999999"/>
    <x v="87"/>
    <n v="397.56"/>
  </r>
  <r>
    <s v="ORD0089"/>
    <x v="78"/>
    <s v="Mouse"/>
    <x v="0"/>
    <x v="3"/>
    <s v="In-Store"/>
    <s v="UPI"/>
    <n v="1"/>
    <n v="471.64"/>
    <x v="88"/>
    <n v="119.85"/>
  </r>
  <r>
    <s v="ORD0090"/>
    <x v="79"/>
    <s v="Desk"/>
    <x v="1"/>
    <x v="3"/>
    <s v="Online"/>
    <s v="Debit Card"/>
    <n v="1"/>
    <n v="8422.99"/>
    <x v="89"/>
    <n v="3169.75"/>
  </r>
  <r>
    <s v="ORD0091"/>
    <x v="6"/>
    <s v="Laptop"/>
    <x v="0"/>
    <x v="2"/>
    <s v="Online"/>
    <s v="UPI"/>
    <n v="2"/>
    <n v="43658.31"/>
    <x v="90"/>
    <n v="30313.48"/>
  </r>
  <r>
    <s v="ORD0092"/>
    <x v="80"/>
    <s v="Desk"/>
    <x v="1"/>
    <x v="0"/>
    <s v="In-Store"/>
    <s v="Cash"/>
    <n v="2"/>
    <n v="8892.84"/>
    <x v="91"/>
    <n v="5906.01"/>
  </r>
  <r>
    <s v="ORD0093"/>
    <x v="81"/>
    <s v="Smartphone"/>
    <x v="0"/>
    <x v="0"/>
    <s v="Online"/>
    <s v="Credit Card"/>
    <n v="1"/>
    <n v="16466.7"/>
    <x v="92"/>
    <n v="3562.47"/>
  </r>
  <r>
    <s v="ORD0094"/>
    <x v="82"/>
    <s v="Desk"/>
    <x v="1"/>
    <x v="2"/>
    <s v="Online"/>
    <s v="Net Banking"/>
    <n v="1"/>
    <n v="8546.74"/>
    <x v="93"/>
    <n v="2007.64"/>
  </r>
  <r>
    <s v="ORD0095"/>
    <x v="63"/>
    <s v="Backpack"/>
    <x v="2"/>
    <x v="2"/>
    <s v="In-Store"/>
    <s v="Net Banking"/>
    <n v="4"/>
    <n v="1151.3599999999999"/>
    <x v="94"/>
    <n v="1045.3599999999999"/>
  </r>
  <r>
    <s v="ORD0096"/>
    <x v="83"/>
    <s v="Laptop"/>
    <x v="0"/>
    <x v="1"/>
    <s v="Online"/>
    <s v="Debit Card"/>
    <n v="2"/>
    <n v="44016.75"/>
    <x v="95"/>
    <n v="11763.61"/>
  </r>
  <r>
    <s v="ORD0097"/>
    <x v="84"/>
    <s v="Smartphone"/>
    <x v="0"/>
    <x v="0"/>
    <s v="In-Store"/>
    <s v="Cash"/>
    <n v="1"/>
    <n v="16825.73"/>
    <x v="96"/>
    <n v="6065.39"/>
  </r>
  <r>
    <s v="ORD0098"/>
    <x v="85"/>
    <s v="Monitor"/>
    <x v="0"/>
    <x v="4"/>
    <s v="In-Store"/>
    <s v="UPI"/>
    <n v="2"/>
    <n v="10878.34"/>
    <x v="97"/>
    <n v="6637.8"/>
  </r>
  <r>
    <s v="ORD0099"/>
    <x v="86"/>
    <s v="Office Chair"/>
    <x v="1"/>
    <x v="1"/>
    <s v="In-Store"/>
    <s v="UPI"/>
    <n v="4"/>
    <n v="6874.18"/>
    <x v="98"/>
    <n v="5980.12"/>
  </r>
  <r>
    <s v="ORD0100"/>
    <x v="87"/>
    <s v="Office Chair"/>
    <x v="1"/>
    <x v="0"/>
    <s v="Online"/>
    <s v="Credit Card"/>
    <n v="2"/>
    <n v="7030.93"/>
    <x v="99"/>
    <n v="2321.27"/>
  </r>
  <r>
    <s v="ORD0101"/>
    <x v="88"/>
    <s v="Monitor"/>
    <x v="0"/>
    <x v="0"/>
    <s v="In-Store"/>
    <s v="Debit Card"/>
    <n v="3"/>
    <n v="12166.1"/>
    <x v="100"/>
    <n v="11130.57"/>
  </r>
  <r>
    <s v="ORD0102"/>
    <x v="67"/>
    <s v="Pen Pack"/>
    <x v="3"/>
    <x v="0"/>
    <s v="Online"/>
    <s v="Cash"/>
    <n v="4"/>
    <n v="120.01"/>
    <x v="101"/>
    <n v="120.78"/>
  </r>
  <r>
    <s v="ORD0103"/>
    <x v="89"/>
    <s v="Monitor"/>
    <x v="0"/>
    <x v="3"/>
    <s v="Online"/>
    <s v="Debit Card"/>
    <n v="1"/>
    <n v="11019.18"/>
    <x v="102"/>
    <n v="1431.43"/>
  </r>
  <r>
    <s v="ORD0104"/>
    <x v="90"/>
    <s v="Laptop"/>
    <x v="0"/>
    <x v="2"/>
    <s v="In-Store"/>
    <s v="Credit Card"/>
    <n v="3"/>
    <n v="39271.599999999999"/>
    <x v="103"/>
    <n v="28872.799999999999"/>
  </r>
  <r>
    <s v="ORD0105"/>
    <x v="91"/>
    <s v="Pen Pack"/>
    <x v="3"/>
    <x v="4"/>
    <s v="In-Store"/>
    <s v="Debit Card"/>
    <n v="2"/>
    <n v="119.8"/>
    <x v="104"/>
    <n v="85.36"/>
  </r>
  <r>
    <s v="ORD0106"/>
    <x v="92"/>
    <s v="Keyboard"/>
    <x v="0"/>
    <x v="2"/>
    <s v="In-Store"/>
    <s v="Cash"/>
    <n v="1"/>
    <n v="838.95"/>
    <x v="105"/>
    <n v="229.01"/>
  </r>
  <r>
    <s v="ORD0107"/>
    <x v="93"/>
    <s v="Laptop"/>
    <x v="0"/>
    <x v="2"/>
    <s v="Online"/>
    <s v="Net Banking"/>
    <n v="2"/>
    <n v="40441.94"/>
    <x v="106"/>
    <n v="23937.49"/>
  </r>
  <r>
    <s v="ORD0108"/>
    <x v="94"/>
    <s v="Pen Pack"/>
    <x v="3"/>
    <x v="2"/>
    <s v="In-Store"/>
    <s v="UPI"/>
    <n v="1"/>
    <n v="120.44"/>
    <x v="107"/>
    <n v="26.27"/>
  </r>
  <r>
    <s v="ORD0109"/>
    <x v="33"/>
    <s v="Desk"/>
    <x v="1"/>
    <x v="2"/>
    <s v="Online"/>
    <s v="UPI"/>
    <n v="2"/>
    <n v="9769.81"/>
    <x v="108"/>
    <n v="5199.29"/>
  </r>
  <r>
    <s v="ORD0110"/>
    <x v="55"/>
    <s v="Monitor"/>
    <x v="0"/>
    <x v="0"/>
    <s v="In-Store"/>
    <s v="UPI"/>
    <n v="3"/>
    <n v="12503.48"/>
    <x v="109"/>
    <n v="11223.31"/>
  </r>
  <r>
    <s v="ORD0111"/>
    <x v="95"/>
    <s v="Smartphone"/>
    <x v="0"/>
    <x v="2"/>
    <s v="In-Store"/>
    <s v="Net Banking"/>
    <n v="2"/>
    <n v="16622.88"/>
    <x v="110"/>
    <n v="5440.43"/>
  </r>
  <r>
    <s v="ORD0112"/>
    <x v="96"/>
    <s v="Desk"/>
    <x v="1"/>
    <x v="2"/>
    <s v="Online"/>
    <s v="Cash"/>
    <n v="1"/>
    <n v="8968.5"/>
    <x v="111"/>
    <n v="2306.9"/>
  </r>
  <r>
    <s v="ORD0113"/>
    <x v="29"/>
    <s v="Monitor"/>
    <x v="0"/>
    <x v="4"/>
    <s v="In-Store"/>
    <s v="Debit Card"/>
    <n v="2"/>
    <n v="12910.38"/>
    <x v="112"/>
    <n v="4011.33"/>
  </r>
  <r>
    <s v="ORD0114"/>
    <x v="97"/>
    <s v="Desk"/>
    <x v="1"/>
    <x v="3"/>
    <s v="In-Store"/>
    <s v="Credit Card"/>
    <n v="3"/>
    <n v="8609.11"/>
    <x v="113"/>
    <n v="7809.55"/>
  </r>
  <r>
    <s v="ORD0115"/>
    <x v="98"/>
    <s v="Water Bottle"/>
    <x v="2"/>
    <x v="2"/>
    <s v="In-Store"/>
    <s v="Debit Card"/>
    <n v="2"/>
    <n v="338.27"/>
    <x v="114"/>
    <n v="122.9"/>
  </r>
  <r>
    <s v="ORD0116"/>
    <x v="99"/>
    <s v="Mouse"/>
    <x v="0"/>
    <x v="2"/>
    <s v="Online"/>
    <s v="Debit Card"/>
    <n v="1"/>
    <n v="488.3"/>
    <x v="115"/>
    <n v="76.88"/>
  </r>
  <r>
    <s v="ORD0117"/>
    <x v="23"/>
    <s v="Mouse"/>
    <x v="0"/>
    <x v="1"/>
    <s v="In-Store"/>
    <s v="UPI"/>
    <n v="4"/>
    <n v="488.12"/>
    <x v="116"/>
    <n v="240.18"/>
  </r>
  <r>
    <s v="ORD0118"/>
    <x v="100"/>
    <s v="Water Bottle"/>
    <x v="2"/>
    <x v="2"/>
    <s v="Online"/>
    <s v="Net Banking"/>
    <n v="5"/>
    <n v="338.24"/>
    <x v="117"/>
    <n v="598.52"/>
  </r>
  <r>
    <s v="ORD0119"/>
    <x v="101"/>
    <s v="Laptop"/>
    <x v="0"/>
    <x v="1"/>
    <s v="Online"/>
    <s v="Cash"/>
    <n v="3"/>
    <n v="41243.82"/>
    <x v="118"/>
    <n v="25953.52"/>
  </r>
  <r>
    <s v="ORD0120"/>
    <x v="35"/>
    <s v="Notebook"/>
    <x v="3"/>
    <x v="4"/>
    <s v="In-Store"/>
    <s v="Debit Card"/>
    <n v="2"/>
    <n v="78.36"/>
    <x v="119"/>
    <n v="56.28"/>
  </r>
  <r>
    <s v="ORD0121"/>
    <x v="102"/>
    <s v="Mouse"/>
    <x v="0"/>
    <x v="3"/>
    <s v="Online"/>
    <s v="Credit Card"/>
    <n v="4"/>
    <n v="498.79"/>
    <x v="120"/>
    <n v="477.51"/>
  </r>
  <r>
    <s v="ORD0122"/>
    <x v="103"/>
    <s v="Keyboard"/>
    <x v="0"/>
    <x v="2"/>
    <s v="Online"/>
    <s v="UPI"/>
    <n v="4"/>
    <n v="989.54"/>
    <x v="121"/>
    <n v="735.59"/>
  </r>
  <r>
    <s v="ORD0123"/>
    <x v="104"/>
    <s v="Headphones"/>
    <x v="0"/>
    <x v="0"/>
    <s v="In-Store"/>
    <s v="Debit Card"/>
    <n v="2"/>
    <n v="1945.23"/>
    <x v="122"/>
    <n v="1431.85"/>
  </r>
  <r>
    <s v="ORD0124"/>
    <x v="16"/>
    <s v="Pen Pack"/>
    <x v="3"/>
    <x v="1"/>
    <s v="Online"/>
    <s v="Credit Card"/>
    <n v="1"/>
    <n v="120.75"/>
    <x v="123"/>
    <n v="28.12"/>
  </r>
  <r>
    <s v="ORD0125"/>
    <x v="105"/>
    <s v="Monitor"/>
    <x v="0"/>
    <x v="3"/>
    <s v="Online"/>
    <s v="Credit Card"/>
    <n v="4"/>
    <n v="12287.3"/>
    <x v="124"/>
    <n v="15599.18"/>
  </r>
  <r>
    <s v="ORD0126"/>
    <x v="94"/>
    <s v="Keyboard"/>
    <x v="0"/>
    <x v="2"/>
    <s v="In-Store"/>
    <s v="Net Banking"/>
    <n v="1"/>
    <n v="855.96"/>
    <x v="125"/>
    <n v="323.17"/>
  </r>
  <r>
    <s v="ORD0127"/>
    <x v="106"/>
    <s v="Smartphone"/>
    <x v="0"/>
    <x v="2"/>
    <s v="In-Store"/>
    <s v="Cash"/>
    <n v="2"/>
    <n v="17444.04"/>
    <x v="126"/>
    <n v="7927.67"/>
  </r>
  <r>
    <s v="ORD0128"/>
    <x v="107"/>
    <s v="Office Chair"/>
    <x v="1"/>
    <x v="2"/>
    <s v="In-Store"/>
    <s v="Net Banking"/>
    <n v="5"/>
    <n v="6959.34"/>
    <x v="127"/>
    <n v="12257.84"/>
  </r>
  <r>
    <s v="ORD0129"/>
    <x v="108"/>
    <s v="Mouse"/>
    <x v="0"/>
    <x v="4"/>
    <s v="Online"/>
    <s v="Net Banking"/>
    <n v="1"/>
    <n v="547.79"/>
    <x v="128"/>
    <n v="114.41"/>
  </r>
  <r>
    <s v="ORD0130"/>
    <x v="86"/>
    <s v="Mouse"/>
    <x v="0"/>
    <x v="4"/>
    <s v="Online"/>
    <s v="Net Banking"/>
    <n v="5"/>
    <n v="541.05999999999995"/>
    <x v="129"/>
    <n v="503.88"/>
  </r>
  <r>
    <s v="ORD0131"/>
    <x v="109"/>
    <s v="Office Chair"/>
    <x v="1"/>
    <x v="1"/>
    <s v="Online"/>
    <s v="UPI"/>
    <n v="2"/>
    <n v="6657.16"/>
    <x v="130"/>
    <n v="2713.21"/>
  </r>
  <r>
    <s v="ORD0132"/>
    <x v="51"/>
    <s v="Backpack"/>
    <x v="2"/>
    <x v="4"/>
    <s v="In-Store"/>
    <s v="Cash"/>
    <n v="1"/>
    <n v="1167.57"/>
    <x v="131"/>
    <n v="403.78"/>
  </r>
  <r>
    <s v="ORD0133"/>
    <x v="110"/>
    <s v="Office Chair"/>
    <x v="1"/>
    <x v="3"/>
    <s v="In-Store"/>
    <s v="Credit Card"/>
    <n v="1"/>
    <n v="6551.23"/>
    <x v="132"/>
    <n v="834.71"/>
  </r>
  <r>
    <s v="ORD0134"/>
    <x v="111"/>
    <s v="Backpack"/>
    <x v="2"/>
    <x v="0"/>
    <s v="In-Store"/>
    <s v="UPI"/>
    <n v="5"/>
    <n v="1150.83"/>
    <x v="133"/>
    <n v="884.39"/>
  </r>
  <r>
    <s v="ORD0135"/>
    <x v="112"/>
    <s v="Office Chair"/>
    <x v="1"/>
    <x v="3"/>
    <s v="In-Store"/>
    <s v="UPI"/>
    <n v="4"/>
    <n v="6791.48"/>
    <x v="134"/>
    <n v="3401.58"/>
  </r>
  <r>
    <s v="ORD0136"/>
    <x v="10"/>
    <s v="Laptop"/>
    <x v="0"/>
    <x v="4"/>
    <s v="In-Store"/>
    <s v="Debit Card"/>
    <n v="1"/>
    <n v="38838.15"/>
    <x v="135"/>
    <n v="11036.55"/>
  </r>
  <r>
    <s v="ORD0137"/>
    <x v="68"/>
    <s v="Keyboard"/>
    <x v="0"/>
    <x v="3"/>
    <s v="In-Store"/>
    <s v="Net Banking"/>
    <n v="1"/>
    <n v="814.5"/>
    <x v="136"/>
    <n v="122.26"/>
  </r>
  <r>
    <s v="ORD0138"/>
    <x v="113"/>
    <s v="Keyboard"/>
    <x v="0"/>
    <x v="4"/>
    <s v="In-Store"/>
    <s v="UPI"/>
    <n v="1"/>
    <n v="958.29"/>
    <x v="137"/>
    <n v="137.57"/>
  </r>
  <r>
    <s v="ORD0139"/>
    <x v="114"/>
    <s v="Laptop"/>
    <x v="0"/>
    <x v="0"/>
    <s v="Online"/>
    <s v="Net Banking"/>
    <n v="4"/>
    <n v="40356.660000000003"/>
    <x v="138"/>
    <n v="40666.21"/>
  </r>
  <r>
    <s v="ORD0140"/>
    <x v="65"/>
    <s v="Pen Pack"/>
    <x v="3"/>
    <x v="3"/>
    <s v="In-Store"/>
    <s v="Net Banking"/>
    <n v="2"/>
    <n v="124.09"/>
    <x v="139"/>
    <n v="46.36"/>
  </r>
  <r>
    <s v="ORD0141"/>
    <x v="115"/>
    <s v="Pen Pack"/>
    <x v="3"/>
    <x v="4"/>
    <s v="Online"/>
    <s v="Debit Card"/>
    <n v="2"/>
    <n v="128.01"/>
    <x v="140"/>
    <n v="56.31"/>
  </r>
  <r>
    <s v="ORD0142"/>
    <x v="116"/>
    <s v="Backpack"/>
    <x v="2"/>
    <x v="4"/>
    <s v="In-Store"/>
    <s v="UPI"/>
    <n v="2"/>
    <n v="1136.67"/>
    <x v="141"/>
    <n v="649.5"/>
  </r>
  <r>
    <s v="ORD0143"/>
    <x v="117"/>
    <s v="Desk"/>
    <x v="1"/>
    <x v="2"/>
    <s v="Online"/>
    <s v="Credit Card"/>
    <n v="1"/>
    <n v="8319.89"/>
    <x v="142"/>
    <n v="1327.12"/>
  </r>
  <r>
    <s v="ORD0144"/>
    <x v="118"/>
    <s v="Keyboard"/>
    <x v="0"/>
    <x v="1"/>
    <s v="Online"/>
    <s v="Net Banking"/>
    <n v="2"/>
    <n v="813.84"/>
    <x v="143"/>
    <n v="285.55"/>
  </r>
  <r>
    <s v="ORD0145"/>
    <x v="119"/>
    <s v="Smartphone"/>
    <x v="0"/>
    <x v="1"/>
    <s v="In-Store"/>
    <s v="Credit Card"/>
    <n v="3"/>
    <n v="18195.150000000001"/>
    <x v="144"/>
    <n v="12420.4"/>
  </r>
  <r>
    <s v="ORD0146"/>
    <x v="120"/>
    <s v="Laptop"/>
    <x v="0"/>
    <x v="3"/>
    <s v="In-Store"/>
    <s v="Credit Card"/>
    <n v="1"/>
    <n v="46065.84"/>
    <x v="145"/>
    <n v="5677.29"/>
  </r>
  <r>
    <s v="ORD0147"/>
    <x v="121"/>
    <s v="Keyboard"/>
    <x v="0"/>
    <x v="1"/>
    <s v="In-Store"/>
    <s v="UPI"/>
    <n v="4"/>
    <n v="833.72"/>
    <x v="146"/>
    <n v="956.63"/>
  </r>
  <r>
    <s v="ORD0148"/>
    <x v="110"/>
    <s v="Desk"/>
    <x v="1"/>
    <x v="0"/>
    <s v="In-Store"/>
    <s v="Cash"/>
    <n v="1"/>
    <n v="9435.09"/>
    <x v="147"/>
    <n v="2294.7800000000002"/>
  </r>
  <r>
    <s v="ORD0149"/>
    <x v="122"/>
    <s v="Water Bottle"/>
    <x v="2"/>
    <x v="3"/>
    <s v="Online"/>
    <s v="Net Banking"/>
    <n v="2"/>
    <n v="346.64"/>
    <x v="148"/>
    <n v="223.51"/>
  </r>
  <r>
    <s v="ORD0150"/>
    <x v="107"/>
    <s v="Backpack"/>
    <x v="2"/>
    <x v="2"/>
    <s v="In-Store"/>
    <s v="UPI"/>
    <n v="2"/>
    <n v="1087.48"/>
    <x v="149"/>
    <n v="261.79000000000002"/>
  </r>
  <r>
    <s v="ORD0151"/>
    <x v="123"/>
    <s v="Mouse"/>
    <x v="0"/>
    <x v="3"/>
    <s v="Online"/>
    <s v="UPI"/>
    <n v="4"/>
    <n v="457.35"/>
    <x v="150"/>
    <n v="656.74"/>
  </r>
  <r>
    <s v="ORD0152"/>
    <x v="100"/>
    <s v="Desk"/>
    <x v="1"/>
    <x v="2"/>
    <s v="In-Store"/>
    <s v="Cash"/>
    <n v="2"/>
    <n v="9153.66"/>
    <x v="151"/>
    <n v="3567"/>
  </r>
  <r>
    <s v="ORD0153"/>
    <x v="124"/>
    <s v="Monitor"/>
    <x v="0"/>
    <x v="3"/>
    <s v="Online"/>
    <s v="Cash"/>
    <n v="2"/>
    <n v="12703.43"/>
    <x v="152"/>
    <n v="8898.81"/>
  </r>
  <r>
    <s v="ORD0154"/>
    <x v="21"/>
    <s v="Office Chair"/>
    <x v="1"/>
    <x v="0"/>
    <s v="In-Store"/>
    <s v="Cash"/>
    <n v="1"/>
    <n v="6925.64"/>
    <x v="153"/>
    <n v="1913.76"/>
  </r>
  <r>
    <s v="ORD0155"/>
    <x v="49"/>
    <s v="Keyboard"/>
    <x v="0"/>
    <x v="2"/>
    <s v="Online"/>
    <s v="UPI"/>
    <n v="1"/>
    <n v="981.65"/>
    <x v="154"/>
    <n v="197.73"/>
  </r>
  <r>
    <s v="ORD0156"/>
    <x v="125"/>
    <s v="Smartphone"/>
    <x v="0"/>
    <x v="1"/>
    <s v="Online"/>
    <s v="Net Banking"/>
    <n v="2"/>
    <n v="18880.52"/>
    <x v="155"/>
    <n v="10690.6"/>
  </r>
  <r>
    <s v="ORD0157"/>
    <x v="126"/>
    <s v="Water Bottle"/>
    <x v="2"/>
    <x v="2"/>
    <s v="Online"/>
    <s v="Debit Card"/>
    <n v="1"/>
    <n v="323.56"/>
    <x v="156"/>
    <n v="93.21"/>
  </r>
  <r>
    <s v="ORD0158"/>
    <x v="127"/>
    <s v="Desk"/>
    <x v="1"/>
    <x v="2"/>
    <s v="Online"/>
    <s v="UPI"/>
    <n v="1"/>
    <n v="9140.25"/>
    <x v="157"/>
    <n v="2967.73"/>
  </r>
  <r>
    <s v="ORD0159"/>
    <x v="47"/>
    <s v="Water Bottle"/>
    <x v="2"/>
    <x v="2"/>
    <s v="Online"/>
    <s v="Net Banking"/>
    <n v="1"/>
    <n v="368.38"/>
    <x v="158"/>
    <n v="85"/>
  </r>
  <r>
    <s v="ORD0160"/>
    <x v="128"/>
    <s v="Mouse"/>
    <x v="0"/>
    <x v="4"/>
    <s v="In-Store"/>
    <s v="Debit Card"/>
    <n v="1"/>
    <n v="468.04"/>
    <x v="159"/>
    <n v="92.34"/>
  </r>
  <r>
    <s v="ORD0161"/>
    <x v="129"/>
    <s v="Headphones"/>
    <x v="0"/>
    <x v="1"/>
    <s v="Online"/>
    <s v="UPI"/>
    <n v="4"/>
    <n v="1823.88"/>
    <x v="160"/>
    <n v="2012.08"/>
  </r>
  <r>
    <s v="ORD0162"/>
    <x v="130"/>
    <s v="Office Chair"/>
    <x v="1"/>
    <x v="4"/>
    <s v="In-Store"/>
    <s v="Net Banking"/>
    <n v="1"/>
    <n v="6439.74"/>
    <x v="161"/>
    <n v="2183.5500000000002"/>
  </r>
  <r>
    <s v="ORD0163"/>
    <x v="120"/>
    <s v="Smartphone"/>
    <x v="0"/>
    <x v="0"/>
    <s v="Online"/>
    <s v="Debit Card"/>
    <n v="4"/>
    <n v="16760.09"/>
    <x v="162"/>
    <n v="12325.15"/>
  </r>
  <r>
    <s v="ORD0164"/>
    <x v="26"/>
    <s v="Keyboard"/>
    <x v="0"/>
    <x v="1"/>
    <s v="Online"/>
    <s v="Debit Card"/>
    <n v="2"/>
    <n v="919.27"/>
    <x v="163"/>
    <n v="500.66"/>
  </r>
  <r>
    <s v="ORD0165"/>
    <x v="131"/>
    <s v="Smartphone"/>
    <x v="0"/>
    <x v="4"/>
    <s v="Online"/>
    <s v="Credit Card"/>
    <n v="1"/>
    <n v="18642.55"/>
    <x v="164"/>
    <n v="4725.43"/>
  </r>
  <r>
    <s v="ORD0166"/>
    <x v="10"/>
    <s v="Monitor"/>
    <x v="0"/>
    <x v="1"/>
    <s v="In-Store"/>
    <s v="Debit Card"/>
    <n v="1"/>
    <n v="11290.62"/>
    <x v="165"/>
    <n v="1515.38"/>
  </r>
  <r>
    <s v="ORD0167"/>
    <x v="132"/>
    <s v="Smartphone"/>
    <x v="0"/>
    <x v="2"/>
    <s v="Online"/>
    <s v="Net Banking"/>
    <n v="1"/>
    <n v="18889.25"/>
    <x v="166"/>
    <n v="6315.04"/>
  </r>
  <r>
    <s v="ORD0168"/>
    <x v="133"/>
    <s v="Keyboard"/>
    <x v="0"/>
    <x v="0"/>
    <s v="In-Store"/>
    <s v="UPI"/>
    <n v="3"/>
    <n v="822.97"/>
    <x v="167"/>
    <n v="385"/>
  </r>
  <r>
    <s v="ORD0169"/>
    <x v="134"/>
    <s v="Smartphone"/>
    <x v="0"/>
    <x v="2"/>
    <s v="In-Store"/>
    <s v="UPI"/>
    <n v="4"/>
    <n v="18272.73"/>
    <x v="168"/>
    <n v="16877.87"/>
  </r>
  <r>
    <s v="ORD0170"/>
    <x v="135"/>
    <s v="Laptop"/>
    <x v="0"/>
    <x v="2"/>
    <s v="In-Store"/>
    <s v="UPI"/>
    <n v="5"/>
    <n v="39243.730000000003"/>
    <x v="169"/>
    <n v="26218.79"/>
  </r>
  <r>
    <s v="ORD0171"/>
    <x v="73"/>
    <s v="Smartphone"/>
    <x v="0"/>
    <x v="2"/>
    <s v="In-Store"/>
    <s v="Debit Card"/>
    <n v="1"/>
    <n v="18319.939999999999"/>
    <x v="170"/>
    <n v="4465.8500000000004"/>
  </r>
  <r>
    <s v="ORD0172"/>
    <x v="113"/>
    <s v="Notebook"/>
    <x v="3"/>
    <x v="3"/>
    <s v="Online"/>
    <s v="Debit Card"/>
    <n v="3"/>
    <n v="73.22"/>
    <x v="171"/>
    <n v="47.31"/>
  </r>
  <r>
    <s v="ORD0173"/>
    <x v="47"/>
    <s v="Mouse"/>
    <x v="0"/>
    <x v="0"/>
    <s v="Online"/>
    <s v="Debit Card"/>
    <n v="5"/>
    <n v="514.54"/>
    <x v="172"/>
    <n v="878.84"/>
  </r>
  <r>
    <s v="ORD0174"/>
    <x v="54"/>
    <s v="Headphones"/>
    <x v="0"/>
    <x v="1"/>
    <s v="In-Store"/>
    <s v="Cash"/>
    <n v="2"/>
    <n v="1893.68"/>
    <x v="173"/>
    <n v="793.71"/>
  </r>
  <r>
    <s v="ORD0175"/>
    <x v="82"/>
    <s v="Monitor"/>
    <x v="0"/>
    <x v="3"/>
    <s v="In-Store"/>
    <s v="Debit Card"/>
    <n v="2"/>
    <n v="13017.97"/>
    <x v="174"/>
    <n v="6072.42"/>
  </r>
  <r>
    <s v="ORD0176"/>
    <x v="61"/>
    <s v="Backpack"/>
    <x v="2"/>
    <x v="4"/>
    <s v="Online"/>
    <s v="Debit Card"/>
    <n v="1"/>
    <n v="1186.1300000000001"/>
    <x v="175"/>
    <n v="357.34"/>
  </r>
  <r>
    <s v="ORD0177"/>
    <x v="97"/>
    <s v="Smartphone"/>
    <x v="0"/>
    <x v="4"/>
    <s v="Online"/>
    <s v="UPI"/>
    <n v="1"/>
    <n v="17826.89"/>
    <x v="176"/>
    <n v="6510.53"/>
  </r>
  <r>
    <s v="ORD0178"/>
    <x v="136"/>
    <s v="Monitor"/>
    <x v="0"/>
    <x v="0"/>
    <s v="In-Store"/>
    <s v="Net Banking"/>
    <n v="2"/>
    <n v="11910.51"/>
    <x v="177"/>
    <n v="5618.85"/>
  </r>
  <r>
    <s v="ORD0179"/>
    <x v="137"/>
    <s v="Office Chair"/>
    <x v="1"/>
    <x v="0"/>
    <s v="In-Store"/>
    <s v="UPI"/>
    <n v="1"/>
    <n v="6468.32"/>
    <x v="178"/>
    <n v="2204.25"/>
  </r>
  <r>
    <s v="ORD0180"/>
    <x v="138"/>
    <s v="Mouse"/>
    <x v="0"/>
    <x v="2"/>
    <s v="In-Store"/>
    <s v="Net Banking"/>
    <n v="1"/>
    <n v="514.61"/>
    <x v="179"/>
    <n v="190.31"/>
  </r>
  <r>
    <s v="ORD0181"/>
    <x v="139"/>
    <s v="Monitor"/>
    <x v="0"/>
    <x v="2"/>
    <s v="In-Store"/>
    <s v="Net Banking"/>
    <n v="1"/>
    <n v="11694.84"/>
    <x v="180"/>
    <n v="3583.86"/>
  </r>
  <r>
    <s v="ORD0182"/>
    <x v="39"/>
    <s v="Keyboard"/>
    <x v="0"/>
    <x v="2"/>
    <s v="In-Store"/>
    <s v="Debit Card"/>
    <n v="2"/>
    <n v="821.86"/>
    <x v="181"/>
    <n v="584.22"/>
  </r>
  <r>
    <s v="ORD0183"/>
    <x v="128"/>
    <s v="Monitor"/>
    <x v="0"/>
    <x v="1"/>
    <s v="In-Store"/>
    <s v="Debit Card"/>
    <n v="4"/>
    <n v="11600.07"/>
    <x v="182"/>
    <n v="10601.89"/>
  </r>
  <r>
    <s v="ORD0184"/>
    <x v="140"/>
    <s v="Mouse"/>
    <x v="0"/>
    <x v="0"/>
    <s v="In-Store"/>
    <s v="Net Banking"/>
    <n v="2"/>
    <n v="462.9"/>
    <x v="183"/>
    <n v="181.18"/>
  </r>
  <r>
    <s v="ORD0185"/>
    <x v="141"/>
    <s v="Keyboard"/>
    <x v="0"/>
    <x v="3"/>
    <s v="Online"/>
    <s v="Cash"/>
    <n v="3"/>
    <n v="956.37"/>
    <x v="184"/>
    <n v="590.38"/>
  </r>
  <r>
    <s v="ORD0186"/>
    <x v="142"/>
    <s v="Notebook"/>
    <x v="3"/>
    <x v="4"/>
    <s v="In-Store"/>
    <s v="Credit Card"/>
    <n v="1"/>
    <n v="76.94"/>
    <x v="185"/>
    <n v="10.210000000000001"/>
  </r>
  <r>
    <s v="ORD0187"/>
    <x v="95"/>
    <s v="Headphones"/>
    <x v="0"/>
    <x v="3"/>
    <s v="Online"/>
    <s v="Debit Card"/>
    <n v="1"/>
    <n v="1726.49"/>
    <x v="186"/>
    <n v="302.29000000000002"/>
  </r>
  <r>
    <s v="ORD0188"/>
    <x v="143"/>
    <s v="Headphones"/>
    <x v="0"/>
    <x v="3"/>
    <s v="Online"/>
    <s v="Cash"/>
    <n v="2"/>
    <n v="1675.53"/>
    <x v="187"/>
    <n v="1115.8399999999999"/>
  </r>
  <r>
    <s v="ORD0189"/>
    <x v="50"/>
    <s v="Pen Pack"/>
    <x v="3"/>
    <x v="3"/>
    <s v="In-Store"/>
    <s v="Cash"/>
    <n v="1"/>
    <n v="125.27"/>
    <x v="188"/>
    <n v="16.02"/>
  </r>
  <r>
    <s v="ORD0190"/>
    <x v="144"/>
    <s v="Water Bottle"/>
    <x v="2"/>
    <x v="1"/>
    <s v="In-Store"/>
    <s v="Net Banking"/>
    <n v="1"/>
    <n v="382.59"/>
    <x v="189"/>
    <n v="67.36"/>
  </r>
  <r>
    <s v="ORD0191"/>
    <x v="145"/>
    <s v="Backpack"/>
    <x v="2"/>
    <x v="2"/>
    <s v="Online"/>
    <s v="Credit Card"/>
    <n v="3"/>
    <n v="1266.75"/>
    <x v="190"/>
    <n v="947.19"/>
  </r>
  <r>
    <s v="ORD0192"/>
    <x v="146"/>
    <s v="Headphones"/>
    <x v="0"/>
    <x v="4"/>
    <s v="Online"/>
    <s v="Net Banking"/>
    <n v="4"/>
    <n v="1638.78"/>
    <x v="191"/>
    <n v="1671.86"/>
  </r>
  <r>
    <s v="ORD0193"/>
    <x v="147"/>
    <s v="Desk"/>
    <x v="1"/>
    <x v="3"/>
    <s v="Online"/>
    <s v="Cash"/>
    <n v="1"/>
    <n v="8388.56"/>
    <x v="192"/>
    <n v="2207.6799999999998"/>
  </r>
  <r>
    <s v="ORD0194"/>
    <x v="148"/>
    <s v="Office Chair"/>
    <x v="1"/>
    <x v="2"/>
    <s v="Online"/>
    <s v="Cash"/>
    <n v="3"/>
    <n v="7000.02"/>
    <x v="193"/>
    <n v="2899.63"/>
  </r>
  <r>
    <s v="ORD0195"/>
    <x v="149"/>
    <s v="Notebook"/>
    <x v="3"/>
    <x v="0"/>
    <s v="In-Store"/>
    <s v="UPI"/>
    <n v="1"/>
    <n v="87.91"/>
    <x v="194"/>
    <n v="24.84"/>
  </r>
  <r>
    <s v="ORD0196"/>
    <x v="150"/>
    <s v="Notebook"/>
    <x v="3"/>
    <x v="2"/>
    <s v="Online"/>
    <s v="Cash"/>
    <n v="3"/>
    <n v="74.2"/>
    <x v="195"/>
    <n v="67.98"/>
  </r>
  <r>
    <s v="ORD0197"/>
    <x v="151"/>
    <s v="Monitor"/>
    <x v="0"/>
    <x v="1"/>
    <s v="In-Store"/>
    <s v="UPI"/>
    <n v="1"/>
    <n v="10990.14"/>
    <x v="196"/>
    <n v="3444.97"/>
  </r>
  <r>
    <s v="ORD0198"/>
    <x v="152"/>
    <s v="Office Chair"/>
    <x v="1"/>
    <x v="3"/>
    <s v="In-Store"/>
    <s v="UPI"/>
    <n v="1"/>
    <n v="5912.07"/>
    <x v="197"/>
    <n v="1601.26"/>
  </r>
  <r>
    <s v="ORD0199"/>
    <x v="121"/>
    <s v="Backpack"/>
    <x v="2"/>
    <x v="1"/>
    <s v="Online"/>
    <s v="Debit Card"/>
    <n v="2"/>
    <n v="1083.94"/>
    <x v="198"/>
    <n v="533.29999999999995"/>
  </r>
  <r>
    <s v="ORD0200"/>
    <x v="11"/>
    <s v="Laptop"/>
    <x v="0"/>
    <x v="0"/>
    <s v="In-Store"/>
    <s v="UPI"/>
    <n v="2"/>
    <n v="39820.74"/>
    <x v="199"/>
    <n v="21637.99"/>
  </r>
  <r>
    <s v="ORD0201"/>
    <x v="153"/>
    <s v="Water Bottle"/>
    <x v="2"/>
    <x v="2"/>
    <s v="In-Store"/>
    <s v="UPI"/>
    <n v="2"/>
    <n v="384.18"/>
    <x v="200"/>
    <n v="181.27"/>
  </r>
  <r>
    <s v="ORD0202"/>
    <x v="154"/>
    <s v="Pen Pack"/>
    <x v="3"/>
    <x v="0"/>
    <s v="In-Store"/>
    <s v="Credit Card"/>
    <n v="5"/>
    <n v="114.09"/>
    <x v="201"/>
    <n v="214.36"/>
  </r>
  <r>
    <s v="ORD0203"/>
    <x v="128"/>
    <s v="Keyboard"/>
    <x v="0"/>
    <x v="1"/>
    <s v="Online"/>
    <s v="Debit Card"/>
    <n v="1"/>
    <n v="914.74"/>
    <x v="202"/>
    <n v="167.64"/>
  </r>
  <r>
    <s v="ORD0204"/>
    <x v="41"/>
    <s v="Notebook"/>
    <x v="3"/>
    <x v="2"/>
    <s v="In-Store"/>
    <s v="Credit Card"/>
    <n v="3"/>
    <n v="74.8"/>
    <x v="203"/>
    <n v="39.81"/>
  </r>
  <r>
    <s v="ORD0205"/>
    <x v="65"/>
    <s v="Smartphone"/>
    <x v="0"/>
    <x v="1"/>
    <s v="Online"/>
    <s v="Credit Card"/>
    <n v="3"/>
    <n v="19596.98"/>
    <x v="204"/>
    <n v="21775.24"/>
  </r>
  <r>
    <s v="ORD0206"/>
    <x v="70"/>
    <s v="Notebook"/>
    <x v="3"/>
    <x v="3"/>
    <s v="In-Store"/>
    <s v="Debit Card"/>
    <n v="4"/>
    <n v="80.25"/>
    <x v="205"/>
    <n v="39.43"/>
  </r>
  <r>
    <s v="ORD0207"/>
    <x v="155"/>
    <s v="Keyboard"/>
    <x v="0"/>
    <x v="4"/>
    <s v="In-Store"/>
    <s v="UPI"/>
    <n v="1"/>
    <n v="874.26"/>
    <x v="206"/>
    <n v="154.72999999999999"/>
  </r>
  <r>
    <s v="ORD0208"/>
    <x v="156"/>
    <s v="Pen Pack"/>
    <x v="3"/>
    <x v="2"/>
    <s v="In-Store"/>
    <s v="Credit Card"/>
    <n v="4"/>
    <n v="125.84"/>
    <x v="207"/>
    <n v="74.19"/>
  </r>
  <r>
    <s v="ORD0209"/>
    <x v="157"/>
    <s v="Mouse"/>
    <x v="0"/>
    <x v="0"/>
    <s v="In-Store"/>
    <s v="UPI"/>
    <n v="2"/>
    <n v="542.42999999999995"/>
    <x v="208"/>
    <n v="265.77999999999997"/>
  </r>
  <r>
    <s v="ORD0210"/>
    <x v="131"/>
    <s v="Monitor"/>
    <x v="0"/>
    <x v="0"/>
    <s v="Online"/>
    <s v="Debit Card"/>
    <n v="5"/>
    <n v="11233.1"/>
    <x v="209"/>
    <n v="17053.009999999998"/>
  </r>
  <r>
    <s v="ORD0211"/>
    <x v="84"/>
    <s v="Desk"/>
    <x v="1"/>
    <x v="2"/>
    <s v="In-Store"/>
    <s v="Cash"/>
    <n v="1"/>
    <n v="9184.7199999999993"/>
    <x v="210"/>
    <n v="2472.62"/>
  </r>
  <r>
    <s v="ORD0212"/>
    <x v="70"/>
    <s v="Mouse"/>
    <x v="0"/>
    <x v="4"/>
    <s v="Online"/>
    <s v="UPI"/>
    <n v="4"/>
    <n v="485.26"/>
    <x v="211"/>
    <n v="233.86"/>
  </r>
  <r>
    <s v="ORD0213"/>
    <x v="158"/>
    <s v="Keyboard"/>
    <x v="0"/>
    <x v="1"/>
    <s v="Online"/>
    <s v="Credit Card"/>
    <n v="1"/>
    <n v="902.36"/>
    <x v="212"/>
    <n v="166.96"/>
  </r>
  <r>
    <s v="ORD0214"/>
    <x v="7"/>
    <s v="Keyboard"/>
    <x v="0"/>
    <x v="4"/>
    <s v="In-Store"/>
    <s v="Cash"/>
    <n v="3"/>
    <n v="816.26"/>
    <x v="213"/>
    <n v="887.73"/>
  </r>
  <r>
    <s v="ORD0215"/>
    <x v="159"/>
    <s v="Laptop"/>
    <x v="0"/>
    <x v="4"/>
    <s v="In-Store"/>
    <s v="UPI"/>
    <n v="2"/>
    <n v="43504.12"/>
    <x v="214"/>
    <n v="11598.71"/>
  </r>
  <r>
    <s v="ORD0216"/>
    <x v="80"/>
    <s v="Headphones"/>
    <x v="0"/>
    <x v="1"/>
    <s v="Online"/>
    <s v="UPI"/>
    <n v="2"/>
    <n v="1763.29"/>
    <x v="215"/>
    <n v="744.51"/>
  </r>
  <r>
    <s v="ORD0217"/>
    <x v="160"/>
    <s v="Backpack"/>
    <x v="2"/>
    <x v="4"/>
    <s v="In-Store"/>
    <s v="Credit Card"/>
    <n v="2"/>
    <n v="1299.25"/>
    <x v="216"/>
    <n v="907.87"/>
  </r>
  <r>
    <s v="ORD0218"/>
    <x v="58"/>
    <s v="Desk"/>
    <x v="1"/>
    <x v="1"/>
    <s v="Online"/>
    <s v="Cash"/>
    <n v="2"/>
    <n v="9897.5300000000007"/>
    <x v="217"/>
    <n v="6491.86"/>
  </r>
  <r>
    <s v="ORD0219"/>
    <x v="161"/>
    <s v="Mouse"/>
    <x v="0"/>
    <x v="4"/>
    <s v="In-Store"/>
    <s v="UPI"/>
    <n v="2"/>
    <n v="458.78"/>
    <x v="218"/>
    <n v="185.99"/>
  </r>
  <r>
    <s v="ORD0220"/>
    <x v="93"/>
    <s v="Water Bottle"/>
    <x v="2"/>
    <x v="1"/>
    <s v="In-Store"/>
    <s v="Net Banking"/>
    <n v="1"/>
    <n v="336"/>
    <x v="219"/>
    <n v="113.92"/>
  </r>
  <r>
    <s v="ORD0221"/>
    <x v="162"/>
    <s v="Smartphone"/>
    <x v="0"/>
    <x v="2"/>
    <s v="Online"/>
    <s v="Debit Card"/>
    <n v="5"/>
    <n v="19051.439999999999"/>
    <x v="220"/>
    <n v="30334.52"/>
  </r>
  <r>
    <s v="ORD0222"/>
    <x v="163"/>
    <s v="Monitor"/>
    <x v="0"/>
    <x v="3"/>
    <s v="Online"/>
    <s v="UPI"/>
    <n v="1"/>
    <n v="12728.79"/>
    <x v="221"/>
    <n v="3011.27"/>
  </r>
  <r>
    <s v="ORD0223"/>
    <x v="51"/>
    <s v="Pen Pack"/>
    <x v="3"/>
    <x v="2"/>
    <s v="Online"/>
    <s v="Credit Card"/>
    <n v="5"/>
    <n v="125.25"/>
    <x v="222"/>
    <n v="152.38"/>
  </r>
  <r>
    <s v="ORD0224"/>
    <x v="164"/>
    <s v="Keyboard"/>
    <x v="0"/>
    <x v="1"/>
    <s v="Online"/>
    <s v="Credit Card"/>
    <n v="1"/>
    <n v="893.85"/>
    <x v="223"/>
    <n v="219.43"/>
  </r>
  <r>
    <s v="ORD0225"/>
    <x v="165"/>
    <s v="Water Bottle"/>
    <x v="2"/>
    <x v="1"/>
    <s v="In-Store"/>
    <s v="Credit Card"/>
    <n v="4"/>
    <n v="318.88"/>
    <x v="224"/>
    <n v="443.52"/>
  </r>
  <r>
    <s v="ORD0226"/>
    <x v="40"/>
    <s v="Notebook"/>
    <x v="3"/>
    <x v="3"/>
    <s v="In-Store"/>
    <s v="UPI"/>
    <n v="4"/>
    <n v="75.61"/>
    <x v="225"/>
    <n v="40.42"/>
  </r>
  <r>
    <s v="ORD0227"/>
    <x v="166"/>
    <s v="Office Chair"/>
    <x v="1"/>
    <x v="4"/>
    <s v="Online"/>
    <s v="Net Banking"/>
    <n v="2"/>
    <n v="6566.09"/>
    <x v="226"/>
    <n v="4562.8500000000004"/>
  </r>
  <r>
    <s v="ORD0228"/>
    <x v="118"/>
    <s v="Headphones"/>
    <x v="0"/>
    <x v="3"/>
    <s v="In-Store"/>
    <s v="Net Banking"/>
    <n v="2"/>
    <n v="1829.03"/>
    <x v="227"/>
    <n v="1227.23"/>
  </r>
  <r>
    <s v="ORD0229"/>
    <x v="70"/>
    <s v="Laptop"/>
    <x v="0"/>
    <x v="4"/>
    <s v="Online"/>
    <s v="Net Banking"/>
    <n v="1"/>
    <n v="45767.79"/>
    <x v="228"/>
    <n v="8216.8799999999992"/>
  </r>
  <r>
    <s v="ORD0230"/>
    <x v="167"/>
    <s v="Monitor"/>
    <x v="0"/>
    <x v="4"/>
    <s v="In-Store"/>
    <s v="Cash"/>
    <n v="2"/>
    <n v="11995.29"/>
    <x v="229"/>
    <n v="5204.45"/>
  </r>
  <r>
    <s v="ORD0231"/>
    <x v="168"/>
    <s v="Keyboard"/>
    <x v="0"/>
    <x v="1"/>
    <s v="In-Store"/>
    <s v="Cash"/>
    <n v="1"/>
    <n v="891.64"/>
    <x v="230"/>
    <n v="179.18"/>
  </r>
  <r>
    <s v="ORD0232"/>
    <x v="169"/>
    <s v="Backpack"/>
    <x v="2"/>
    <x v="4"/>
    <s v="In-Store"/>
    <s v="Cash"/>
    <n v="1"/>
    <n v="1225.5999999999999"/>
    <x v="231"/>
    <n v="366.12"/>
  </r>
  <r>
    <s v="ORD0233"/>
    <x v="170"/>
    <s v="Notebook"/>
    <x v="3"/>
    <x v="0"/>
    <s v="In-Store"/>
    <s v="Cash"/>
    <n v="2"/>
    <n v="73.7"/>
    <x v="232"/>
    <n v="46.75"/>
  </r>
  <r>
    <s v="ORD0234"/>
    <x v="171"/>
    <s v="Headphones"/>
    <x v="0"/>
    <x v="3"/>
    <s v="In-Store"/>
    <s v="Credit Card"/>
    <n v="1"/>
    <n v="1724.48"/>
    <x v="233"/>
    <n v="483.06"/>
  </r>
  <r>
    <s v="ORD0235"/>
    <x v="172"/>
    <s v="Notebook"/>
    <x v="3"/>
    <x v="1"/>
    <s v="In-Store"/>
    <s v="Net Banking"/>
    <n v="4"/>
    <n v="83.54"/>
    <x v="234"/>
    <n v="110.49"/>
  </r>
  <r>
    <s v="ORD0236"/>
    <x v="173"/>
    <s v="Backpack"/>
    <x v="2"/>
    <x v="2"/>
    <s v="In-Store"/>
    <s v="Credit Card"/>
    <n v="4"/>
    <n v="1199.3699999999999"/>
    <x v="235"/>
    <n v="1710.72"/>
  </r>
  <r>
    <s v="ORD0237"/>
    <x v="174"/>
    <s v="Monitor"/>
    <x v="0"/>
    <x v="2"/>
    <s v="In-Store"/>
    <s v="Net Banking"/>
    <n v="1"/>
    <n v="10921.3"/>
    <x v="236"/>
    <n v="2744.82"/>
  </r>
  <r>
    <s v="ORD0238"/>
    <x v="175"/>
    <s v="Smartphone"/>
    <x v="0"/>
    <x v="2"/>
    <s v="In-Store"/>
    <s v="UPI"/>
    <n v="2"/>
    <n v="19376.84"/>
    <x v="237"/>
    <n v="7396.06"/>
  </r>
  <r>
    <s v="ORD0239"/>
    <x v="176"/>
    <s v="Laptop"/>
    <x v="0"/>
    <x v="0"/>
    <s v="In-Store"/>
    <s v="Net Banking"/>
    <n v="2"/>
    <n v="39435.1"/>
    <x v="238"/>
    <n v="18626.150000000001"/>
  </r>
  <r>
    <s v="ORD0240"/>
    <x v="59"/>
    <s v="Water Bottle"/>
    <x v="2"/>
    <x v="0"/>
    <s v="Online"/>
    <s v="UPI"/>
    <n v="1"/>
    <n v="384.24"/>
    <x v="239"/>
    <n v="78.040000000000006"/>
  </r>
  <r>
    <s v="ORD0241"/>
    <x v="177"/>
    <s v="Notebook"/>
    <x v="3"/>
    <x v="1"/>
    <s v="Online"/>
    <s v="Net Banking"/>
    <n v="3"/>
    <n v="77.430000000000007"/>
    <x v="240"/>
    <n v="31.56"/>
  </r>
  <r>
    <s v="ORD0242"/>
    <x v="142"/>
    <s v="Pen Pack"/>
    <x v="3"/>
    <x v="4"/>
    <s v="In-Store"/>
    <s v="Net Banking"/>
    <n v="2"/>
    <n v="109.09"/>
    <x v="241"/>
    <n v="75.13"/>
  </r>
  <r>
    <s v="ORD0243"/>
    <x v="101"/>
    <s v="Headphones"/>
    <x v="0"/>
    <x v="3"/>
    <s v="In-Store"/>
    <s v="Credit Card"/>
    <n v="2"/>
    <n v="1805.58"/>
    <x v="242"/>
    <n v="1064.31"/>
  </r>
  <r>
    <s v="ORD0244"/>
    <x v="177"/>
    <s v="Monitor"/>
    <x v="0"/>
    <x v="3"/>
    <s v="In-Store"/>
    <s v="Net Banking"/>
    <n v="3"/>
    <n v="11518.16"/>
    <x v="243"/>
    <n v="10108.67"/>
  </r>
  <r>
    <s v="ORD0245"/>
    <x v="37"/>
    <s v="Backpack"/>
    <x v="2"/>
    <x v="2"/>
    <s v="In-Store"/>
    <s v="UPI"/>
    <n v="3"/>
    <n v="1168.4100000000001"/>
    <x v="244"/>
    <n v="717.91"/>
  </r>
  <r>
    <s v="ORD0246"/>
    <x v="120"/>
    <s v="Backpack"/>
    <x v="2"/>
    <x v="3"/>
    <s v="Online"/>
    <s v="UPI"/>
    <n v="1"/>
    <n v="1237.3399999999999"/>
    <x v="245"/>
    <n v="157.47"/>
  </r>
  <r>
    <s v="ORD0247"/>
    <x v="178"/>
    <s v="Backpack"/>
    <x v="2"/>
    <x v="2"/>
    <s v="Online"/>
    <s v="Credit Card"/>
    <n v="1"/>
    <n v="1230.97"/>
    <x v="246"/>
    <n v="269.42"/>
  </r>
  <r>
    <s v="ORD0248"/>
    <x v="179"/>
    <s v="Monitor"/>
    <x v="0"/>
    <x v="4"/>
    <s v="In-Store"/>
    <s v="Credit Card"/>
    <n v="4"/>
    <n v="11063.75"/>
    <x v="247"/>
    <n v="16599"/>
  </r>
  <r>
    <s v="ORD0249"/>
    <x v="180"/>
    <s v="Mouse"/>
    <x v="0"/>
    <x v="2"/>
    <s v="Online"/>
    <s v="Credit Card"/>
    <n v="1"/>
    <n v="500.18"/>
    <x v="248"/>
    <n v="110.55"/>
  </r>
  <r>
    <s v="ORD0250"/>
    <x v="181"/>
    <s v="Office Chair"/>
    <x v="1"/>
    <x v="2"/>
    <s v="In-Store"/>
    <s v="Credit Card"/>
    <n v="2"/>
    <n v="7147.56"/>
    <x v="249"/>
    <n v="3654.17"/>
  </r>
  <r>
    <s v="ORD0251"/>
    <x v="134"/>
    <s v="Water Bottle"/>
    <x v="2"/>
    <x v="4"/>
    <s v="In-Store"/>
    <s v="Credit Card"/>
    <n v="1"/>
    <n v="339.8"/>
    <x v="250"/>
    <n v="60.92"/>
  </r>
  <r>
    <s v="ORD0252"/>
    <x v="171"/>
    <s v="Desk"/>
    <x v="1"/>
    <x v="4"/>
    <s v="In-Store"/>
    <s v="Credit Card"/>
    <n v="2"/>
    <n v="8504.76"/>
    <x v="251"/>
    <n v="2160.94"/>
  </r>
  <r>
    <s v="ORD0253"/>
    <x v="182"/>
    <s v="Mouse"/>
    <x v="0"/>
    <x v="4"/>
    <s v="In-Store"/>
    <s v="UPI"/>
    <n v="2"/>
    <n v="497.98"/>
    <x v="252"/>
    <n v="233.33"/>
  </r>
  <r>
    <s v="ORD0254"/>
    <x v="80"/>
    <s v="Keyboard"/>
    <x v="0"/>
    <x v="4"/>
    <s v="Online"/>
    <s v="Debit Card"/>
    <n v="2"/>
    <n v="971.24"/>
    <x v="253"/>
    <n v="538.89"/>
  </r>
  <r>
    <s v="ORD0255"/>
    <x v="70"/>
    <s v="Desk"/>
    <x v="1"/>
    <x v="4"/>
    <s v="In-Store"/>
    <s v="Credit Card"/>
    <n v="5"/>
    <n v="8242.25"/>
    <x v="254"/>
    <n v="5759.58"/>
  </r>
  <r>
    <s v="ORD0256"/>
    <x v="183"/>
    <s v="Water Bottle"/>
    <x v="2"/>
    <x v="0"/>
    <s v="Online"/>
    <s v="Credit Card"/>
    <n v="1"/>
    <n v="354.34"/>
    <x v="255"/>
    <n v="109.63"/>
  </r>
  <r>
    <s v="ORD0257"/>
    <x v="30"/>
    <s v="Keyboard"/>
    <x v="0"/>
    <x v="0"/>
    <s v="In-Store"/>
    <s v="Debit Card"/>
    <n v="4"/>
    <n v="850.62"/>
    <x v="256"/>
    <n v="1086.96"/>
  </r>
  <r>
    <s v="ORD0258"/>
    <x v="184"/>
    <s v="Smartphone"/>
    <x v="0"/>
    <x v="1"/>
    <s v="In-Store"/>
    <s v="Cash"/>
    <n v="2"/>
    <n v="16694.88"/>
    <x v="257"/>
    <n v="4314.8"/>
  </r>
  <r>
    <s v="ORD0259"/>
    <x v="185"/>
    <s v="Keyboard"/>
    <x v="0"/>
    <x v="0"/>
    <s v="Online"/>
    <s v="Net Banking"/>
    <n v="1"/>
    <n v="983.5"/>
    <x v="258"/>
    <n v="291.60000000000002"/>
  </r>
  <r>
    <s v="ORD0260"/>
    <x v="186"/>
    <s v="Water Bottle"/>
    <x v="2"/>
    <x v="1"/>
    <s v="In-Store"/>
    <s v="Credit Card"/>
    <n v="3"/>
    <n v="374.52"/>
    <x v="259"/>
    <n v="416.06"/>
  </r>
  <r>
    <s v="ORD0261"/>
    <x v="155"/>
    <s v="Pen Pack"/>
    <x v="3"/>
    <x v="4"/>
    <s v="Online"/>
    <s v="UPI"/>
    <n v="3"/>
    <n v="112.47"/>
    <x v="260"/>
    <n v="62.51"/>
  </r>
  <r>
    <s v="ORD0262"/>
    <x v="187"/>
    <s v="Monitor"/>
    <x v="0"/>
    <x v="2"/>
    <s v="In-Store"/>
    <s v="Credit Card"/>
    <n v="2"/>
    <n v="13028.29"/>
    <x v="261"/>
    <n v="7631.69"/>
  </r>
  <r>
    <s v="ORD0263"/>
    <x v="124"/>
    <s v="Backpack"/>
    <x v="2"/>
    <x v="2"/>
    <s v="In-Store"/>
    <s v="Credit Card"/>
    <n v="1"/>
    <n v="1274.1199999999999"/>
    <x v="262"/>
    <n v="374.62"/>
  </r>
  <r>
    <s v="ORD0264"/>
    <x v="188"/>
    <s v="Mouse"/>
    <x v="0"/>
    <x v="1"/>
    <s v="Online"/>
    <s v="Net Banking"/>
    <n v="1"/>
    <n v="479.5"/>
    <x v="263"/>
    <n v="98.13"/>
  </r>
  <r>
    <s v="ORD0265"/>
    <x v="0"/>
    <s v="Pen Pack"/>
    <x v="3"/>
    <x v="0"/>
    <s v="Online"/>
    <s v="Credit Card"/>
    <n v="3"/>
    <n v="120.37"/>
    <x v="264"/>
    <n v="129.08000000000001"/>
  </r>
  <r>
    <s v="ORD0266"/>
    <x v="185"/>
    <s v="Notebook"/>
    <x v="3"/>
    <x v="2"/>
    <s v="In-Store"/>
    <s v="Debit Card"/>
    <n v="4"/>
    <n v="72.11"/>
    <x v="265"/>
    <n v="80.84"/>
  </r>
  <r>
    <s v="ORD0267"/>
    <x v="107"/>
    <s v="Monitor"/>
    <x v="0"/>
    <x v="1"/>
    <s v="Online"/>
    <s v="UPI"/>
    <n v="3"/>
    <n v="10827.45"/>
    <x v="266"/>
    <n v="6822.67"/>
  </r>
  <r>
    <s v="ORD0268"/>
    <x v="189"/>
    <s v="Desk"/>
    <x v="1"/>
    <x v="4"/>
    <s v="Online"/>
    <s v="Debit Card"/>
    <n v="1"/>
    <n v="9334.93"/>
    <x v="267"/>
    <n v="1306.82"/>
  </r>
  <r>
    <s v="ORD0269"/>
    <x v="156"/>
    <s v="Monitor"/>
    <x v="0"/>
    <x v="2"/>
    <s v="In-Store"/>
    <s v="Cash"/>
    <n v="1"/>
    <n v="13097.67"/>
    <x v="268"/>
    <n v="3348.72"/>
  </r>
  <r>
    <s v="ORD0270"/>
    <x v="45"/>
    <s v="Water Bottle"/>
    <x v="2"/>
    <x v="1"/>
    <s v="Online"/>
    <s v="Net Banking"/>
    <n v="4"/>
    <n v="368.01"/>
    <x v="269"/>
    <n v="252.43"/>
  </r>
  <r>
    <s v="ORD0271"/>
    <x v="190"/>
    <s v="Water Bottle"/>
    <x v="2"/>
    <x v="3"/>
    <s v="Online"/>
    <s v="UPI"/>
    <n v="2"/>
    <n v="364.26"/>
    <x v="270"/>
    <n v="262.04000000000002"/>
  </r>
  <r>
    <s v="ORD0272"/>
    <x v="191"/>
    <s v="Water Bottle"/>
    <x v="2"/>
    <x v="3"/>
    <s v="In-Store"/>
    <s v="UPI"/>
    <n v="1"/>
    <n v="352.57"/>
    <x v="271"/>
    <n v="118.89"/>
  </r>
  <r>
    <s v="ORD0273"/>
    <x v="192"/>
    <s v="Office Chair"/>
    <x v="1"/>
    <x v="2"/>
    <s v="Online"/>
    <s v="Cash"/>
    <n v="3"/>
    <n v="6485.48"/>
    <x v="272"/>
    <n v="2846.26"/>
  </r>
  <r>
    <s v="ORD0274"/>
    <x v="193"/>
    <s v="Water Bottle"/>
    <x v="2"/>
    <x v="4"/>
    <s v="Online"/>
    <s v="Cash"/>
    <n v="1"/>
    <n v="354.47"/>
    <x v="273"/>
    <n v="83.2"/>
  </r>
  <r>
    <s v="ORD0275"/>
    <x v="194"/>
    <s v="Laptop"/>
    <x v="0"/>
    <x v="4"/>
    <s v="Online"/>
    <s v="Net Banking"/>
    <n v="3"/>
    <n v="42657.81"/>
    <x v="274"/>
    <n v="47122.97"/>
  </r>
  <r>
    <s v="ORD0276"/>
    <x v="195"/>
    <s v="Smartphone"/>
    <x v="0"/>
    <x v="1"/>
    <s v="Online"/>
    <s v="Cash"/>
    <n v="5"/>
    <n v="17899.46"/>
    <x v="275"/>
    <n v="27328.57"/>
  </r>
  <r>
    <s v="ORD0277"/>
    <x v="16"/>
    <s v="Pen Pack"/>
    <x v="3"/>
    <x v="0"/>
    <s v="Online"/>
    <s v="Debit Card"/>
    <n v="2"/>
    <n v="130.01"/>
    <x v="276"/>
    <n v="73.290000000000006"/>
  </r>
  <r>
    <s v="ORD0278"/>
    <x v="196"/>
    <s v="Headphones"/>
    <x v="0"/>
    <x v="1"/>
    <s v="Online"/>
    <s v="UPI"/>
    <n v="5"/>
    <n v="1761.5"/>
    <x v="277"/>
    <n v="3055.23"/>
  </r>
  <r>
    <s v="ORD0279"/>
    <x v="187"/>
    <s v="Backpack"/>
    <x v="2"/>
    <x v="1"/>
    <s v="Online"/>
    <s v="Cash"/>
    <n v="2"/>
    <n v="1210.67"/>
    <x v="278"/>
    <n v="585.23"/>
  </r>
  <r>
    <s v="ORD0280"/>
    <x v="197"/>
    <s v="Headphones"/>
    <x v="0"/>
    <x v="0"/>
    <s v="Online"/>
    <s v="Cash"/>
    <n v="1"/>
    <n v="1957.47"/>
    <x v="279"/>
    <n v="374.84"/>
  </r>
  <r>
    <s v="ORD0281"/>
    <x v="136"/>
    <s v="Laptop"/>
    <x v="0"/>
    <x v="2"/>
    <s v="Online"/>
    <s v="Credit Card"/>
    <n v="1"/>
    <n v="38365.24"/>
    <x v="280"/>
    <n v="8654.2199999999993"/>
  </r>
  <r>
    <s v="ORD0282"/>
    <x v="50"/>
    <s v="Pen Pack"/>
    <x v="3"/>
    <x v="0"/>
    <s v="Online"/>
    <s v="Net Banking"/>
    <n v="2"/>
    <n v="120.95"/>
    <x v="281"/>
    <n v="44.48"/>
  </r>
  <r>
    <s v="ORD0283"/>
    <x v="198"/>
    <s v="Office Chair"/>
    <x v="1"/>
    <x v="3"/>
    <s v="In-Store"/>
    <s v="Credit Card"/>
    <n v="3"/>
    <n v="6800.97"/>
    <x v="282"/>
    <n v="6061.4"/>
  </r>
  <r>
    <s v="ORD0284"/>
    <x v="107"/>
    <s v="Headphones"/>
    <x v="0"/>
    <x v="4"/>
    <s v="Online"/>
    <s v="Net Banking"/>
    <n v="5"/>
    <n v="1807.65"/>
    <x v="283"/>
    <n v="2462.69"/>
  </r>
  <r>
    <s v="ORD0285"/>
    <x v="199"/>
    <s v="Mouse"/>
    <x v="0"/>
    <x v="2"/>
    <s v="Online"/>
    <s v="Debit Card"/>
    <n v="4"/>
    <n v="512.6"/>
    <x v="284"/>
    <n v="551.41"/>
  </r>
  <r>
    <s v="ORD0286"/>
    <x v="200"/>
    <s v="Keyboard"/>
    <x v="0"/>
    <x v="2"/>
    <s v="Online"/>
    <s v="Debit Card"/>
    <n v="1"/>
    <n v="904.4"/>
    <x v="285"/>
    <n v="179.94"/>
  </r>
  <r>
    <s v="ORD0287"/>
    <x v="141"/>
    <s v="Headphones"/>
    <x v="0"/>
    <x v="4"/>
    <s v="Online"/>
    <s v="Cash"/>
    <n v="3"/>
    <n v="1790.47"/>
    <x v="286"/>
    <n v="854.97"/>
  </r>
  <r>
    <s v="ORD0288"/>
    <x v="201"/>
    <s v="Water Bottle"/>
    <x v="2"/>
    <x v="2"/>
    <s v="Online"/>
    <s v="Debit Card"/>
    <n v="1"/>
    <n v="344.16"/>
    <x v="287"/>
    <n v="83.36"/>
  </r>
  <r>
    <s v="ORD0289"/>
    <x v="33"/>
    <s v="Notebook"/>
    <x v="3"/>
    <x v="0"/>
    <s v="Online"/>
    <s v="UPI"/>
    <n v="2"/>
    <n v="86.76"/>
    <x v="288"/>
    <n v="27.72"/>
  </r>
  <r>
    <s v="ORD0290"/>
    <x v="9"/>
    <s v="Pen Pack"/>
    <x v="3"/>
    <x v="1"/>
    <s v="Online"/>
    <s v="Cash"/>
    <n v="2"/>
    <n v="122.47"/>
    <x v="289"/>
    <n v="37.44"/>
  </r>
  <r>
    <s v="ORD0291"/>
    <x v="202"/>
    <s v="Notebook"/>
    <x v="3"/>
    <x v="1"/>
    <s v="Online"/>
    <s v="Cash"/>
    <n v="1"/>
    <n v="86.54"/>
    <x v="290"/>
    <n v="28.12"/>
  </r>
  <r>
    <s v="ORD0292"/>
    <x v="74"/>
    <s v="Mouse"/>
    <x v="0"/>
    <x v="3"/>
    <s v="In-Store"/>
    <s v="Debit Card"/>
    <n v="2"/>
    <n v="470.45"/>
    <x v="291"/>
    <n v="133.66999999999999"/>
  </r>
  <r>
    <s v="ORD0293"/>
    <x v="63"/>
    <s v="Backpack"/>
    <x v="2"/>
    <x v="3"/>
    <s v="In-Store"/>
    <s v="Cash"/>
    <n v="2"/>
    <n v="1166.22"/>
    <x v="292"/>
    <n v="727.71"/>
  </r>
  <r>
    <s v="ORD0294"/>
    <x v="203"/>
    <s v="Mouse"/>
    <x v="0"/>
    <x v="4"/>
    <s v="In-Store"/>
    <s v="Cash"/>
    <n v="2"/>
    <n v="533.97"/>
    <x v="293"/>
    <n v="151.94"/>
  </r>
  <r>
    <s v="ORD0295"/>
    <x v="6"/>
    <s v="Monitor"/>
    <x v="0"/>
    <x v="3"/>
    <s v="In-Store"/>
    <s v="Debit Card"/>
    <n v="4"/>
    <n v="12579.01"/>
    <x v="294"/>
    <n v="18907.900000000001"/>
  </r>
  <r>
    <s v="ORD0296"/>
    <x v="204"/>
    <s v="Office Chair"/>
    <x v="1"/>
    <x v="2"/>
    <s v="In-Store"/>
    <s v="Debit Card"/>
    <n v="1"/>
    <n v="6343.79"/>
    <x v="295"/>
    <n v="1036.0999999999999"/>
  </r>
  <r>
    <s v="ORD0297"/>
    <x v="71"/>
    <s v="Mouse"/>
    <x v="0"/>
    <x v="4"/>
    <s v="Online"/>
    <s v="Credit Card"/>
    <n v="2"/>
    <n v="499.06"/>
    <x v="296"/>
    <n v="335.63"/>
  </r>
  <r>
    <s v="ORD0298"/>
    <x v="41"/>
    <s v="Backpack"/>
    <x v="2"/>
    <x v="0"/>
    <s v="Online"/>
    <s v="UPI"/>
    <n v="1"/>
    <n v="1293.45"/>
    <x v="297"/>
    <n v="158.47"/>
  </r>
  <r>
    <s v="ORD0299"/>
    <x v="205"/>
    <s v="Laptop"/>
    <x v="0"/>
    <x v="1"/>
    <s v="Online"/>
    <s v="Credit Card"/>
    <n v="3"/>
    <n v="41264.089999999997"/>
    <x v="298"/>
    <n v="19922.93"/>
  </r>
  <r>
    <s v="ORD0300"/>
    <x v="175"/>
    <s v="Office Chair"/>
    <x v="1"/>
    <x v="3"/>
    <s v="In-Store"/>
    <s v="Cash"/>
    <n v="2"/>
    <n v="6335.16"/>
    <x v="299"/>
    <n v="2779.4"/>
  </r>
  <r>
    <s v="ORD0301"/>
    <x v="206"/>
    <s v="Laptop"/>
    <x v="0"/>
    <x v="4"/>
    <s v="In-Store"/>
    <s v="UPI"/>
    <n v="2"/>
    <n v="41255.24"/>
    <x v="300"/>
    <n v="30995.16"/>
  </r>
  <r>
    <s v="ORD0302"/>
    <x v="149"/>
    <s v="Mouse"/>
    <x v="0"/>
    <x v="0"/>
    <s v="Online"/>
    <s v="Net Banking"/>
    <n v="2"/>
    <n v="530.62"/>
    <x v="301"/>
    <n v="152.24"/>
  </r>
  <r>
    <s v="ORD0303"/>
    <x v="207"/>
    <s v="Office Chair"/>
    <x v="1"/>
    <x v="4"/>
    <s v="In-Store"/>
    <s v="UPI"/>
    <n v="1"/>
    <n v="6534.39"/>
    <x v="302"/>
    <n v="1098.07"/>
  </r>
  <r>
    <s v="ORD0304"/>
    <x v="16"/>
    <s v="Pen Pack"/>
    <x v="3"/>
    <x v="4"/>
    <s v="Online"/>
    <s v="UPI"/>
    <n v="2"/>
    <n v="113.84"/>
    <x v="303"/>
    <n v="45.24"/>
  </r>
  <r>
    <s v="ORD0305"/>
    <x v="208"/>
    <s v="Pen Pack"/>
    <x v="3"/>
    <x v="0"/>
    <s v="Online"/>
    <s v="UPI"/>
    <n v="1"/>
    <n v="121.26"/>
    <x v="304"/>
    <n v="44.31"/>
  </r>
  <r>
    <s v="ORD0306"/>
    <x v="209"/>
    <s v="Pen Pack"/>
    <x v="3"/>
    <x v="0"/>
    <s v="Online"/>
    <s v="Credit Card"/>
    <n v="2"/>
    <n v="115.95"/>
    <x v="305"/>
    <n v="29.19"/>
  </r>
  <r>
    <s v="ORD0307"/>
    <x v="210"/>
    <s v="Mouse"/>
    <x v="0"/>
    <x v="0"/>
    <s v="In-Store"/>
    <s v="Net Banking"/>
    <n v="4"/>
    <n v="497.55"/>
    <x v="306"/>
    <n v="732.18"/>
  </r>
  <r>
    <s v="ORD0308"/>
    <x v="82"/>
    <s v="Keyboard"/>
    <x v="0"/>
    <x v="1"/>
    <s v="Online"/>
    <s v="Cash"/>
    <n v="1"/>
    <n v="977.18"/>
    <x v="307"/>
    <n v="291.43"/>
  </r>
  <r>
    <s v="ORD0309"/>
    <x v="211"/>
    <s v="Desk"/>
    <x v="1"/>
    <x v="2"/>
    <s v="In-Store"/>
    <s v="Cash"/>
    <n v="1"/>
    <n v="8532.85"/>
    <x v="308"/>
    <n v="1390.78"/>
  </r>
  <r>
    <s v="ORD0310"/>
    <x v="114"/>
    <s v="Mouse"/>
    <x v="0"/>
    <x v="0"/>
    <s v="Online"/>
    <s v="Cash"/>
    <n v="3"/>
    <n v="500.08"/>
    <x v="309"/>
    <n v="190.04"/>
  </r>
  <r>
    <s v="ORD0311"/>
    <x v="186"/>
    <s v="Smartphone"/>
    <x v="0"/>
    <x v="2"/>
    <s v="In-Store"/>
    <s v="UPI"/>
    <n v="1"/>
    <n v="18968.419999999998"/>
    <x v="310"/>
    <n v="2498.84"/>
  </r>
  <r>
    <s v="ORD0312"/>
    <x v="212"/>
    <s v="Desk"/>
    <x v="1"/>
    <x v="3"/>
    <s v="In-Store"/>
    <s v="Cash"/>
    <n v="3"/>
    <n v="8910.99"/>
    <x v="311"/>
    <n v="8572.84"/>
  </r>
  <r>
    <s v="ORD0313"/>
    <x v="160"/>
    <s v="Keyboard"/>
    <x v="0"/>
    <x v="4"/>
    <s v="Online"/>
    <s v="UPI"/>
    <n v="2"/>
    <n v="878.41"/>
    <x v="312"/>
    <n v="314.89"/>
  </r>
  <r>
    <s v="ORD0314"/>
    <x v="213"/>
    <s v="Desk"/>
    <x v="1"/>
    <x v="2"/>
    <s v="In-Store"/>
    <s v="Debit Card"/>
    <n v="1"/>
    <n v="9381.02"/>
    <x v="313"/>
    <n v="2018.66"/>
  </r>
  <r>
    <s v="ORD0315"/>
    <x v="56"/>
    <s v="Smartphone"/>
    <x v="0"/>
    <x v="4"/>
    <s v="Online"/>
    <s v="Credit Card"/>
    <n v="1"/>
    <n v="17309.759999999998"/>
    <x v="314"/>
    <n v="4957.8900000000003"/>
  </r>
  <r>
    <s v="ORD0316"/>
    <x v="214"/>
    <s v="Headphones"/>
    <x v="0"/>
    <x v="0"/>
    <s v="Online"/>
    <s v="UPI"/>
    <n v="2"/>
    <n v="1820.51"/>
    <x v="315"/>
    <n v="898.48"/>
  </r>
  <r>
    <s v="ORD0317"/>
    <x v="215"/>
    <s v="Water Bottle"/>
    <x v="2"/>
    <x v="2"/>
    <s v="Online"/>
    <s v="Debit Card"/>
    <n v="1"/>
    <n v="356.86"/>
    <x v="316"/>
    <n v="105.5"/>
  </r>
  <r>
    <s v="ORD0318"/>
    <x v="180"/>
    <s v="Pen Pack"/>
    <x v="3"/>
    <x v="1"/>
    <s v="Online"/>
    <s v="Cash"/>
    <n v="3"/>
    <n v="125.4"/>
    <x v="317"/>
    <n v="88.23"/>
  </r>
  <r>
    <s v="ORD0319"/>
    <x v="216"/>
    <s v="Headphones"/>
    <x v="0"/>
    <x v="1"/>
    <s v="In-Store"/>
    <s v="Debit Card"/>
    <n v="1"/>
    <n v="1716.63"/>
    <x v="318"/>
    <n v="587.19000000000005"/>
  </r>
  <r>
    <s v="ORD0320"/>
    <x v="217"/>
    <s v="Desk"/>
    <x v="1"/>
    <x v="1"/>
    <s v="In-Store"/>
    <s v="Net Banking"/>
    <n v="2"/>
    <n v="8238.4599999999991"/>
    <x v="319"/>
    <n v="5182.95"/>
  </r>
  <r>
    <s v="ORD0321"/>
    <x v="218"/>
    <s v="Office Chair"/>
    <x v="1"/>
    <x v="2"/>
    <s v="In-Store"/>
    <s v="Net Banking"/>
    <n v="2"/>
    <n v="6026.14"/>
    <x v="320"/>
    <n v="4558.66"/>
  </r>
  <r>
    <s v="ORD0322"/>
    <x v="63"/>
    <s v="Notebook"/>
    <x v="3"/>
    <x v="3"/>
    <s v="Online"/>
    <s v="Debit Card"/>
    <n v="2"/>
    <n v="78.89"/>
    <x v="321"/>
    <n v="26.17"/>
  </r>
  <r>
    <s v="ORD0323"/>
    <x v="92"/>
    <s v="Monitor"/>
    <x v="0"/>
    <x v="2"/>
    <s v="In-Store"/>
    <s v="Debit Card"/>
    <n v="4"/>
    <n v="11282.04"/>
    <x v="322"/>
    <n v="13462.29"/>
  </r>
  <r>
    <s v="ORD0324"/>
    <x v="219"/>
    <s v="Keyboard"/>
    <x v="0"/>
    <x v="2"/>
    <s v="In-Store"/>
    <s v="Cash"/>
    <n v="2"/>
    <n v="913.66"/>
    <x v="323"/>
    <n v="579.21"/>
  </r>
  <r>
    <s v="ORD0325"/>
    <x v="42"/>
    <s v="Smartphone"/>
    <x v="0"/>
    <x v="1"/>
    <s v="Online"/>
    <s v="Cash"/>
    <n v="4"/>
    <n v="16919.28"/>
    <x v="324"/>
    <n v="8169.38"/>
  </r>
  <r>
    <s v="ORD0326"/>
    <x v="220"/>
    <s v="Office Chair"/>
    <x v="1"/>
    <x v="2"/>
    <s v="In-Store"/>
    <s v="Credit Card"/>
    <n v="2"/>
    <n v="6228.73"/>
    <x v="325"/>
    <n v="2489.7800000000002"/>
  </r>
  <r>
    <s v="ORD0327"/>
    <x v="212"/>
    <s v="Desk"/>
    <x v="1"/>
    <x v="2"/>
    <s v="Online"/>
    <s v="Cash"/>
    <n v="1"/>
    <n v="9285.59"/>
    <x v="326"/>
    <n v="1801.76"/>
  </r>
  <r>
    <s v="ORD0328"/>
    <x v="221"/>
    <s v="Backpack"/>
    <x v="2"/>
    <x v="2"/>
    <s v="Online"/>
    <s v="Debit Card"/>
    <n v="2"/>
    <n v="1208.25"/>
    <x v="327"/>
    <n v="338.05"/>
  </r>
  <r>
    <s v="ORD0329"/>
    <x v="45"/>
    <s v="Water Bottle"/>
    <x v="2"/>
    <x v="1"/>
    <s v="In-Store"/>
    <s v="Credit Card"/>
    <n v="2"/>
    <n v="379.01"/>
    <x v="328"/>
    <n v="266.49"/>
  </r>
  <r>
    <s v="ORD0330"/>
    <x v="222"/>
    <s v="Monitor"/>
    <x v="0"/>
    <x v="2"/>
    <s v="In-Store"/>
    <s v="Cash"/>
    <n v="1"/>
    <n v="13160.66"/>
    <x v="329"/>
    <n v="2682.9"/>
  </r>
  <r>
    <s v="ORD0331"/>
    <x v="56"/>
    <s v="Laptop"/>
    <x v="0"/>
    <x v="3"/>
    <s v="Online"/>
    <s v="Cash"/>
    <n v="1"/>
    <n v="39664.81"/>
    <x v="330"/>
    <n v="7370.44"/>
  </r>
  <r>
    <s v="ORD0332"/>
    <x v="16"/>
    <s v="Pen Pack"/>
    <x v="3"/>
    <x v="1"/>
    <s v="In-Store"/>
    <s v="UPI"/>
    <n v="2"/>
    <n v="124.31"/>
    <x v="331"/>
    <n v="49.84"/>
  </r>
  <r>
    <s v="ORD0333"/>
    <x v="169"/>
    <s v="Smartphone"/>
    <x v="0"/>
    <x v="1"/>
    <s v="In-Store"/>
    <s v="Debit Card"/>
    <n v="1"/>
    <n v="19513.97"/>
    <x v="332"/>
    <n v="6979.71"/>
  </r>
  <r>
    <s v="ORD0334"/>
    <x v="138"/>
    <s v="Backpack"/>
    <x v="2"/>
    <x v="0"/>
    <s v="In-Store"/>
    <s v="Cash"/>
    <n v="3"/>
    <n v="1205.07"/>
    <x v="333"/>
    <n v="1046.3900000000001"/>
  </r>
  <r>
    <s v="ORD0335"/>
    <x v="223"/>
    <s v="Smartphone"/>
    <x v="0"/>
    <x v="4"/>
    <s v="Online"/>
    <s v="Credit Card"/>
    <n v="1"/>
    <n v="19116.669999999998"/>
    <x v="334"/>
    <n v="6692.32"/>
  </r>
  <r>
    <s v="ORD0336"/>
    <x v="74"/>
    <s v="Water Bottle"/>
    <x v="2"/>
    <x v="2"/>
    <s v="Online"/>
    <s v="Cash"/>
    <n v="1"/>
    <n v="326.20999999999998"/>
    <x v="335"/>
    <n v="76.48"/>
  </r>
  <r>
    <s v="ORD0337"/>
    <x v="55"/>
    <s v="Headphones"/>
    <x v="0"/>
    <x v="3"/>
    <s v="Online"/>
    <s v="Cash"/>
    <n v="1"/>
    <n v="1856.63"/>
    <x v="336"/>
    <n v="514.55999999999995"/>
  </r>
  <r>
    <s v="ORD0338"/>
    <x v="224"/>
    <s v="Pen Pack"/>
    <x v="3"/>
    <x v="0"/>
    <s v="Online"/>
    <s v="Net Banking"/>
    <n v="1"/>
    <n v="124.91"/>
    <x v="337"/>
    <n v="40.78"/>
  </r>
  <r>
    <s v="ORD0339"/>
    <x v="160"/>
    <s v="Notebook"/>
    <x v="3"/>
    <x v="2"/>
    <s v="In-Store"/>
    <s v="Net Banking"/>
    <n v="1"/>
    <n v="79.319999999999993"/>
    <x v="338"/>
    <n v="24.73"/>
  </r>
  <r>
    <s v="ORD0340"/>
    <x v="225"/>
    <s v="Monitor"/>
    <x v="0"/>
    <x v="2"/>
    <s v="Online"/>
    <s v="Debit Card"/>
    <n v="1"/>
    <n v="11074.16"/>
    <x v="339"/>
    <n v="3194.72"/>
  </r>
  <r>
    <s v="ORD0341"/>
    <x v="136"/>
    <s v="Monitor"/>
    <x v="0"/>
    <x v="4"/>
    <s v="Online"/>
    <s v="Credit Card"/>
    <n v="1"/>
    <n v="11121.47"/>
    <x v="340"/>
    <n v="3885.35"/>
  </r>
  <r>
    <s v="ORD0342"/>
    <x v="16"/>
    <s v="Mouse"/>
    <x v="0"/>
    <x v="3"/>
    <s v="In-Store"/>
    <s v="Cash"/>
    <n v="1"/>
    <n v="488.85"/>
    <x v="341"/>
    <n v="109.96"/>
  </r>
  <r>
    <s v="ORD0343"/>
    <x v="160"/>
    <s v="Backpack"/>
    <x v="2"/>
    <x v="1"/>
    <s v="Online"/>
    <s v="Cash"/>
    <n v="2"/>
    <n v="1246.42"/>
    <x v="342"/>
    <n v="529.05999999999995"/>
  </r>
  <r>
    <s v="ORD0344"/>
    <x v="152"/>
    <s v="Headphones"/>
    <x v="0"/>
    <x v="4"/>
    <s v="Online"/>
    <s v="Cash"/>
    <n v="1"/>
    <n v="1923.11"/>
    <x v="343"/>
    <n v="421.07"/>
  </r>
  <r>
    <s v="ORD0345"/>
    <x v="65"/>
    <s v="Office Chair"/>
    <x v="1"/>
    <x v="2"/>
    <s v="In-Store"/>
    <s v="Cash"/>
    <n v="3"/>
    <n v="7102.98"/>
    <x v="344"/>
    <n v="5297.11"/>
  </r>
  <r>
    <s v="ORD0346"/>
    <x v="226"/>
    <s v="Mouse"/>
    <x v="0"/>
    <x v="0"/>
    <s v="Online"/>
    <s v="Debit Card"/>
    <n v="3"/>
    <n v="498.87"/>
    <x v="345"/>
    <n v="536.54"/>
  </r>
  <r>
    <s v="ORD0347"/>
    <x v="179"/>
    <s v="Desk"/>
    <x v="1"/>
    <x v="3"/>
    <s v="In-Store"/>
    <s v="Net Banking"/>
    <n v="1"/>
    <n v="8619.61"/>
    <x v="346"/>
    <n v="1525.74"/>
  </r>
  <r>
    <s v="ORD0348"/>
    <x v="227"/>
    <s v="Smartphone"/>
    <x v="0"/>
    <x v="4"/>
    <s v="Online"/>
    <s v="Cash"/>
    <n v="2"/>
    <n v="17164.400000000001"/>
    <x v="347"/>
    <n v="8197.4599999999991"/>
  </r>
  <r>
    <s v="ORD0349"/>
    <x v="41"/>
    <s v="Office Chair"/>
    <x v="1"/>
    <x v="1"/>
    <s v="In-Store"/>
    <s v="UPI"/>
    <n v="5"/>
    <n v="5983.14"/>
    <x v="348"/>
    <n v="4911.6099999999997"/>
  </r>
  <r>
    <s v="ORD0350"/>
    <x v="59"/>
    <s v="Desk"/>
    <x v="1"/>
    <x v="0"/>
    <s v="Online"/>
    <s v="Credit Card"/>
    <n v="1"/>
    <n v="9570.11"/>
    <x v="349"/>
    <n v="2544.14"/>
  </r>
  <r>
    <s v="ORD0351"/>
    <x v="228"/>
    <s v="Mouse"/>
    <x v="0"/>
    <x v="1"/>
    <s v="Online"/>
    <s v="Credit Card"/>
    <n v="1"/>
    <n v="521.08000000000004"/>
    <x v="350"/>
    <n v="112.28"/>
  </r>
  <r>
    <s v="ORD0352"/>
    <x v="119"/>
    <s v="Laptop"/>
    <x v="0"/>
    <x v="1"/>
    <s v="In-Store"/>
    <s v="Debit Card"/>
    <n v="2"/>
    <n v="42271.16"/>
    <x v="351"/>
    <n v="19006.55"/>
  </r>
  <r>
    <s v="ORD0353"/>
    <x v="198"/>
    <s v="Monitor"/>
    <x v="0"/>
    <x v="0"/>
    <s v="Online"/>
    <s v="Cash"/>
    <n v="1"/>
    <n v="12859.24"/>
    <x v="352"/>
    <n v="1591.63"/>
  </r>
  <r>
    <s v="ORD0354"/>
    <x v="195"/>
    <s v="Desk"/>
    <x v="1"/>
    <x v="1"/>
    <s v="Online"/>
    <s v="Debit Card"/>
    <n v="4"/>
    <n v="8328.4"/>
    <x v="353"/>
    <n v="5157.6000000000004"/>
  </r>
  <r>
    <s v="ORD0355"/>
    <x v="171"/>
    <s v="Keyboard"/>
    <x v="0"/>
    <x v="2"/>
    <s v="In-Store"/>
    <s v="Cash"/>
    <n v="1"/>
    <n v="835.59"/>
    <x v="354"/>
    <n v="180.13"/>
  </r>
  <r>
    <s v="ORD0356"/>
    <x v="69"/>
    <s v="Keyboard"/>
    <x v="0"/>
    <x v="4"/>
    <s v="In-Store"/>
    <s v="Cash"/>
    <n v="3"/>
    <n v="948.4"/>
    <x v="355"/>
    <n v="783.17"/>
  </r>
  <r>
    <s v="ORD0357"/>
    <x v="75"/>
    <s v="Notebook"/>
    <x v="3"/>
    <x v="0"/>
    <s v="In-Store"/>
    <s v="Debit Card"/>
    <n v="2"/>
    <n v="85.9"/>
    <x v="356"/>
    <n v="27.44"/>
  </r>
  <r>
    <s v="ORD0358"/>
    <x v="229"/>
    <s v="Water Bottle"/>
    <x v="2"/>
    <x v="2"/>
    <s v="In-Store"/>
    <s v="Debit Card"/>
    <n v="1"/>
    <n v="382.77"/>
    <x v="357"/>
    <n v="63.36"/>
  </r>
  <r>
    <s v="ORD0359"/>
    <x v="230"/>
    <s v="Notebook"/>
    <x v="3"/>
    <x v="4"/>
    <s v="Online"/>
    <s v="UPI"/>
    <n v="2"/>
    <n v="74.09"/>
    <x v="358"/>
    <n v="23.47"/>
  </r>
  <r>
    <s v="ORD0360"/>
    <x v="203"/>
    <s v="Keyboard"/>
    <x v="0"/>
    <x v="1"/>
    <s v="In-Store"/>
    <s v="Cash"/>
    <n v="3"/>
    <n v="892.72"/>
    <x v="359"/>
    <n v="931.19"/>
  </r>
  <r>
    <s v="ORD0361"/>
    <x v="53"/>
    <s v="Pen Pack"/>
    <x v="3"/>
    <x v="4"/>
    <s v="Online"/>
    <s v="Debit Card"/>
    <n v="1"/>
    <n v="124.53"/>
    <x v="360"/>
    <n v="43.05"/>
  </r>
  <r>
    <s v="ORD0362"/>
    <x v="208"/>
    <s v="Keyboard"/>
    <x v="0"/>
    <x v="1"/>
    <s v="Online"/>
    <s v="Cash"/>
    <n v="1"/>
    <n v="824.84"/>
    <x v="361"/>
    <n v="170.93"/>
  </r>
  <r>
    <s v="ORD0363"/>
    <x v="102"/>
    <s v="Desk"/>
    <x v="1"/>
    <x v="0"/>
    <s v="Online"/>
    <s v="UPI"/>
    <n v="3"/>
    <n v="9459.42"/>
    <x v="362"/>
    <n v="7616.72"/>
  </r>
  <r>
    <s v="ORD0364"/>
    <x v="231"/>
    <s v="Backpack"/>
    <x v="2"/>
    <x v="2"/>
    <s v="Online"/>
    <s v="UPI"/>
    <n v="1"/>
    <n v="1222.48"/>
    <x v="363"/>
    <n v="299.44"/>
  </r>
  <r>
    <s v="ORD0365"/>
    <x v="232"/>
    <s v="Notebook"/>
    <x v="3"/>
    <x v="1"/>
    <s v="In-Store"/>
    <s v="UPI"/>
    <n v="3"/>
    <n v="87.81"/>
    <x v="364"/>
    <n v="71.180000000000007"/>
  </r>
  <r>
    <s v="ORD0366"/>
    <x v="233"/>
    <s v="Pen Pack"/>
    <x v="3"/>
    <x v="4"/>
    <s v="In-Store"/>
    <s v="Credit Card"/>
    <n v="1"/>
    <n v="127.34"/>
    <x v="365"/>
    <n v="44.97"/>
  </r>
  <r>
    <s v="ORD0367"/>
    <x v="13"/>
    <s v="Headphones"/>
    <x v="0"/>
    <x v="3"/>
    <s v="Online"/>
    <s v="Net Banking"/>
    <n v="2"/>
    <n v="1863.77"/>
    <x v="366"/>
    <n v="1350.16"/>
  </r>
  <r>
    <s v="ORD0368"/>
    <x v="150"/>
    <s v="Headphones"/>
    <x v="0"/>
    <x v="1"/>
    <s v="In-Store"/>
    <s v="Net Banking"/>
    <n v="2"/>
    <n v="1880.08"/>
    <x v="367"/>
    <n v="814.82"/>
  </r>
  <r>
    <s v="ORD0369"/>
    <x v="86"/>
    <s v="Backpack"/>
    <x v="2"/>
    <x v="0"/>
    <s v="In-Store"/>
    <s v="Debit Card"/>
    <n v="3"/>
    <n v="1100.81"/>
    <x v="368"/>
    <n v="1168.6600000000001"/>
  </r>
  <r>
    <s v="ORD0370"/>
    <x v="11"/>
    <s v="Notebook"/>
    <x v="3"/>
    <x v="1"/>
    <s v="In-Store"/>
    <s v="UPI"/>
    <n v="3"/>
    <n v="75.959999999999994"/>
    <x v="369"/>
    <n v="48.4"/>
  </r>
  <r>
    <s v="ORD0371"/>
    <x v="19"/>
    <s v="Desk"/>
    <x v="1"/>
    <x v="2"/>
    <s v="In-Store"/>
    <s v="UPI"/>
    <n v="1"/>
    <n v="9192.4699999999993"/>
    <x v="370"/>
    <n v="3042.27"/>
  </r>
  <r>
    <s v="ORD0372"/>
    <x v="234"/>
    <s v="Backpack"/>
    <x v="2"/>
    <x v="0"/>
    <s v="Online"/>
    <s v="Debit Card"/>
    <n v="1"/>
    <n v="1137.8599999999999"/>
    <x v="371"/>
    <n v="243.61"/>
  </r>
  <r>
    <s v="ORD0373"/>
    <x v="164"/>
    <s v="Headphones"/>
    <x v="0"/>
    <x v="3"/>
    <s v="Online"/>
    <s v="Cash"/>
    <n v="1"/>
    <n v="1922.03"/>
    <x v="372"/>
    <n v="520.04999999999995"/>
  </r>
  <r>
    <s v="ORD0374"/>
    <x v="34"/>
    <s v="Laptop"/>
    <x v="0"/>
    <x v="0"/>
    <s v="In-Store"/>
    <s v="Net Banking"/>
    <n v="2"/>
    <n v="37915.86"/>
    <x v="373"/>
    <n v="24562.41"/>
  </r>
  <r>
    <s v="ORD0375"/>
    <x v="235"/>
    <s v="Keyboard"/>
    <x v="0"/>
    <x v="2"/>
    <s v="Online"/>
    <s v="Net Banking"/>
    <n v="3"/>
    <n v="948.08"/>
    <x v="374"/>
    <n v="767.58"/>
  </r>
  <r>
    <s v="ORD0376"/>
    <x v="236"/>
    <s v="Monitor"/>
    <x v="0"/>
    <x v="1"/>
    <s v="Online"/>
    <s v="Net Banking"/>
    <n v="1"/>
    <n v="11000.63"/>
    <x v="375"/>
    <n v="3954.22"/>
  </r>
  <r>
    <s v="ORD0377"/>
    <x v="132"/>
    <s v="Pen Pack"/>
    <x v="3"/>
    <x v="0"/>
    <s v="In-Store"/>
    <s v="Cash"/>
    <n v="2"/>
    <n v="126.32"/>
    <x v="376"/>
    <n v="53.32"/>
  </r>
  <r>
    <s v="ORD0378"/>
    <x v="234"/>
    <s v="Laptop"/>
    <x v="0"/>
    <x v="3"/>
    <s v="Online"/>
    <s v="Debit Card"/>
    <n v="1"/>
    <n v="45566.87"/>
    <x v="377"/>
    <n v="15941.27"/>
  </r>
  <r>
    <s v="ORD0379"/>
    <x v="237"/>
    <s v="Mouse"/>
    <x v="0"/>
    <x v="1"/>
    <s v="Online"/>
    <s v="Credit Card"/>
    <n v="2"/>
    <n v="467.56"/>
    <x v="378"/>
    <n v="352.27"/>
  </r>
  <r>
    <s v="ORD0380"/>
    <x v="157"/>
    <s v="Notebook"/>
    <x v="3"/>
    <x v="1"/>
    <s v="In-Store"/>
    <s v="Credit Card"/>
    <n v="2"/>
    <n v="84.53"/>
    <x v="379"/>
    <n v="32.56"/>
  </r>
  <r>
    <s v="ORD0381"/>
    <x v="9"/>
    <s v="Mouse"/>
    <x v="0"/>
    <x v="2"/>
    <s v="In-Store"/>
    <s v="Net Banking"/>
    <n v="4"/>
    <n v="527.14"/>
    <x v="380"/>
    <n v="785.16"/>
  </r>
  <r>
    <s v="ORD0382"/>
    <x v="229"/>
    <s v="Desk"/>
    <x v="1"/>
    <x v="2"/>
    <s v="In-Store"/>
    <s v="UPI"/>
    <n v="3"/>
    <n v="9137.9699999999993"/>
    <x v="381"/>
    <n v="9867.9599999999991"/>
  </r>
  <r>
    <s v="ORD0383"/>
    <x v="209"/>
    <s v="Monitor"/>
    <x v="0"/>
    <x v="3"/>
    <s v="Online"/>
    <s v="Credit Card"/>
    <n v="1"/>
    <n v="11177.54"/>
    <x v="382"/>
    <n v="2000.05"/>
  </r>
  <r>
    <s v="ORD0384"/>
    <x v="142"/>
    <s v="Laptop"/>
    <x v="0"/>
    <x v="2"/>
    <s v="In-Store"/>
    <s v="Cash"/>
    <n v="1"/>
    <n v="45048.6"/>
    <x v="383"/>
    <n v="14254.13"/>
  </r>
  <r>
    <s v="ORD0385"/>
    <x v="207"/>
    <s v="Headphones"/>
    <x v="0"/>
    <x v="2"/>
    <s v="Online"/>
    <s v="Debit Card"/>
    <n v="4"/>
    <n v="1928.69"/>
    <x v="384"/>
    <n v="1822.65"/>
  </r>
  <r>
    <s v="ORD0386"/>
    <x v="57"/>
    <s v="Pen Pack"/>
    <x v="3"/>
    <x v="3"/>
    <s v="In-Store"/>
    <s v="UPI"/>
    <n v="4"/>
    <n v="115.68"/>
    <x v="385"/>
    <n v="76.459999999999994"/>
  </r>
  <r>
    <s v="ORD0387"/>
    <x v="149"/>
    <s v="Keyboard"/>
    <x v="0"/>
    <x v="0"/>
    <s v="In-Store"/>
    <s v="UPI"/>
    <n v="4"/>
    <n v="842.28"/>
    <x v="386"/>
    <n v="575.69000000000005"/>
  </r>
  <r>
    <s v="ORD0388"/>
    <x v="189"/>
    <s v="Desk"/>
    <x v="1"/>
    <x v="2"/>
    <s v="Online"/>
    <s v="Debit Card"/>
    <n v="3"/>
    <n v="8659.26"/>
    <x v="387"/>
    <n v="9288.09"/>
  </r>
  <r>
    <s v="ORD0389"/>
    <x v="66"/>
    <s v="Desk"/>
    <x v="1"/>
    <x v="2"/>
    <s v="In-Store"/>
    <s v="Net Banking"/>
    <n v="2"/>
    <n v="8647.0400000000009"/>
    <x v="388"/>
    <n v="3771.73"/>
  </r>
  <r>
    <s v="ORD0390"/>
    <x v="238"/>
    <s v="Office Chair"/>
    <x v="1"/>
    <x v="1"/>
    <s v="Online"/>
    <s v="Cash"/>
    <n v="3"/>
    <n v="6560.53"/>
    <x v="389"/>
    <n v="3405.84"/>
  </r>
  <r>
    <s v="ORD0391"/>
    <x v="44"/>
    <s v="Office Chair"/>
    <x v="1"/>
    <x v="0"/>
    <s v="In-Store"/>
    <s v="UPI"/>
    <n v="2"/>
    <n v="6676.72"/>
    <x v="390"/>
    <n v="2666.68"/>
  </r>
  <r>
    <s v="ORD0392"/>
    <x v="128"/>
    <s v="Pen Pack"/>
    <x v="3"/>
    <x v="3"/>
    <s v="Online"/>
    <s v="Cash"/>
    <n v="3"/>
    <n v="125.45"/>
    <x v="391"/>
    <n v="132.84"/>
  </r>
  <r>
    <s v="ORD0393"/>
    <x v="123"/>
    <s v="Laptop"/>
    <x v="0"/>
    <x v="0"/>
    <s v="Online"/>
    <s v="Net Banking"/>
    <n v="5"/>
    <n v="38995.94"/>
    <x v="392"/>
    <n v="59906.62"/>
  </r>
  <r>
    <s v="ORD0394"/>
    <x v="180"/>
    <s v="Mouse"/>
    <x v="0"/>
    <x v="3"/>
    <s v="Online"/>
    <s v="Net Banking"/>
    <n v="4"/>
    <n v="495.85"/>
    <x v="393"/>
    <n v="368.01"/>
  </r>
  <r>
    <s v="ORD0395"/>
    <x v="239"/>
    <s v="Keyboard"/>
    <x v="0"/>
    <x v="2"/>
    <s v="Online"/>
    <s v="Credit Card"/>
    <n v="3"/>
    <n v="823.47"/>
    <x v="394"/>
    <n v="574.04"/>
  </r>
  <r>
    <s v="ORD0396"/>
    <x v="240"/>
    <s v="Desk"/>
    <x v="1"/>
    <x v="4"/>
    <s v="In-Store"/>
    <s v="Cash"/>
    <n v="3"/>
    <n v="9766.8799999999992"/>
    <x v="395"/>
    <n v="8140.66"/>
  </r>
  <r>
    <s v="ORD0397"/>
    <x v="241"/>
    <s v="Office Chair"/>
    <x v="1"/>
    <x v="3"/>
    <s v="Online"/>
    <s v="Credit Card"/>
    <n v="1"/>
    <n v="6113.53"/>
    <x v="396"/>
    <n v="1083.42"/>
  </r>
  <r>
    <s v="ORD0398"/>
    <x v="56"/>
    <s v="Headphones"/>
    <x v="0"/>
    <x v="4"/>
    <s v="Online"/>
    <s v="Cash"/>
    <n v="2"/>
    <n v="1733.05"/>
    <x v="397"/>
    <n v="1208.31"/>
  </r>
  <r>
    <s v="ORD0399"/>
    <x v="88"/>
    <s v="Backpack"/>
    <x v="2"/>
    <x v="4"/>
    <s v="Online"/>
    <s v="Credit Card"/>
    <n v="1"/>
    <n v="1108.78"/>
    <x v="398"/>
    <n v="375.9"/>
  </r>
  <r>
    <s v="ORD0400"/>
    <x v="132"/>
    <s v="Headphones"/>
    <x v="0"/>
    <x v="3"/>
    <s v="Online"/>
    <s v="Debit Card"/>
    <n v="1"/>
    <n v="1709.36"/>
    <x v="399"/>
    <n v="491.45"/>
  </r>
  <r>
    <s v="ORD0401"/>
    <x v="48"/>
    <s v="Headphones"/>
    <x v="0"/>
    <x v="3"/>
    <s v="Online"/>
    <s v="UPI"/>
    <n v="1"/>
    <n v="1765.58"/>
    <x v="400"/>
    <n v="463.34"/>
  </r>
  <r>
    <s v="ORD0402"/>
    <x v="94"/>
    <s v="Smartphone"/>
    <x v="0"/>
    <x v="1"/>
    <s v="Online"/>
    <s v="Credit Card"/>
    <n v="3"/>
    <n v="16703.25"/>
    <x v="401"/>
    <n v="18885.919999999998"/>
  </r>
  <r>
    <s v="ORD0403"/>
    <x v="176"/>
    <s v="Notebook"/>
    <x v="3"/>
    <x v="3"/>
    <s v="In-Store"/>
    <s v="UPI"/>
    <n v="2"/>
    <n v="87"/>
    <x v="402"/>
    <n v="62.32"/>
  </r>
  <r>
    <s v="ORD0404"/>
    <x v="242"/>
    <s v="Smartphone"/>
    <x v="0"/>
    <x v="0"/>
    <s v="In-Store"/>
    <s v="UPI"/>
    <n v="1"/>
    <n v="18525.55"/>
    <x v="403"/>
    <n v="3141.61"/>
  </r>
  <r>
    <s v="ORD0405"/>
    <x v="70"/>
    <s v="Backpack"/>
    <x v="2"/>
    <x v="2"/>
    <s v="In-Store"/>
    <s v="UPI"/>
    <n v="1"/>
    <n v="1301.79"/>
    <x v="404"/>
    <n v="348.07"/>
  </r>
  <r>
    <s v="ORD0406"/>
    <x v="13"/>
    <s v="Keyboard"/>
    <x v="0"/>
    <x v="4"/>
    <s v="In-Store"/>
    <s v="Cash"/>
    <n v="2"/>
    <n v="873.71"/>
    <x v="405"/>
    <n v="251.35"/>
  </r>
  <r>
    <s v="ORD0407"/>
    <x v="207"/>
    <s v="Laptop"/>
    <x v="0"/>
    <x v="2"/>
    <s v="In-Store"/>
    <s v="Net Banking"/>
    <n v="2"/>
    <n v="42982.61"/>
    <x v="406"/>
    <n v="18199.490000000002"/>
  </r>
  <r>
    <s v="ORD0408"/>
    <x v="243"/>
    <s v="Laptop"/>
    <x v="0"/>
    <x v="3"/>
    <s v="Online"/>
    <s v="Net Banking"/>
    <n v="1"/>
    <n v="41017.33"/>
    <x v="407"/>
    <n v="11115.65"/>
  </r>
  <r>
    <s v="ORD0409"/>
    <x v="17"/>
    <s v="Pen Pack"/>
    <x v="3"/>
    <x v="2"/>
    <s v="In-Store"/>
    <s v="Net Banking"/>
    <n v="3"/>
    <n v="116.62"/>
    <x v="408"/>
    <n v="83.42"/>
  </r>
  <r>
    <s v="ORD0410"/>
    <x v="149"/>
    <s v="Notebook"/>
    <x v="3"/>
    <x v="1"/>
    <s v="Online"/>
    <s v="Debit Card"/>
    <n v="1"/>
    <n v="74.88"/>
    <x v="409"/>
    <n v="22.25"/>
  </r>
  <r>
    <s v="ORD0411"/>
    <x v="201"/>
    <s v="Backpack"/>
    <x v="2"/>
    <x v="1"/>
    <s v="Online"/>
    <s v="Credit Card"/>
    <n v="2"/>
    <n v="1264.04"/>
    <x v="410"/>
    <n v="303.63"/>
  </r>
  <r>
    <s v="ORD0412"/>
    <x v="128"/>
    <s v="Office Chair"/>
    <x v="1"/>
    <x v="0"/>
    <s v="Online"/>
    <s v="Net Banking"/>
    <n v="1"/>
    <n v="6911.17"/>
    <x v="411"/>
    <n v="978.02"/>
  </r>
  <r>
    <s v="ORD0413"/>
    <x v="225"/>
    <s v="Notebook"/>
    <x v="3"/>
    <x v="1"/>
    <s v="In-Store"/>
    <s v="Debit Card"/>
    <n v="4"/>
    <n v="87.86"/>
    <x v="412"/>
    <n v="117.67"/>
  </r>
  <r>
    <s v="ORD0414"/>
    <x v="199"/>
    <s v="Laptop"/>
    <x v="0"/>
    <x v="1"/>
    <s v="Online"/>
    <s v="Cash"/>
    <n v="3"/>
    <n v="40754.129999999997"/>
    <x v="413"/>
    <n v="28415.08"/>
  </r>
  <r>
    <s v="ORD0415"/>
    <x v="62"/>
    <s v="Desk"/>
    <x v="1"/>
    <x v="3"/>
    <s v="Online"/>
    <s v="UPI"/>
    <n v="1"/>
    <n v="8168.33"/>
    <x v="414"/>
    <n v="2984.68"/>
  </r>
  <r>
    <s v="ORD0416"/>
    <x v="153"/>
    <s v="Backpack"/>
    <x v="2"/>
    <x v="1"/>
    <s v="In-Store"/>
    <s v="Credit Card"/>
    <n v="1"/>
    <n v="1300.3"/>
    <x v="415"/>
    <n v="426"/>
  </r>
  <r>
    <s v="ORD0417"/>
    <x v="89"/>
    <s v="Laptop"/>
    <x v="0"/>
    <x v="0"/>
    <s v="In-Store"/>
    <s v="UPI"/>
    <n v="1"/>
    <n v="42727.519999999997"/>
    <x v="416"/>
    <n v="6046.87"/>
  </r>
  <r>
    <s v="ORD0418"/>
    <x v="16"/>
    <s v="Mouse"/>
    <x v="0"/>
    <x v="4"/>
    <s v="In-Store"/>
    <s v="Credit Card"/>
    <n v="4"/>
    <n v="489.56"/>
    <x v="417"/>
    <n v="692.69"/>
  </r>
  <r>
    <s v="ORD0419"/>
    <x v="106"/>
    <s v="Mouse"/>
    <x v="0"/>
    <x v="4"/>
    <s v="Online"/>
    <s v="Net Banking"/>
    <n v="4"/>
    <n v="529.17999999999995"/>
    <x v="418"/>
    <n v="275.66000000000003"/>
  </r>
  <r>
    <s v="ORD0420"/>
    <x v="219"/>
    <s v="Monitor"/>
    <x v="0"/>
    <x v="1"/>
    <s v="In-Store"/>
    <s v="Debit Card"/>
    <n v="3"/>
    <n v="11335.77"/>
    <x v="419"/>
    <n v="7715.34"/>
  </r>
  <r>
    <s v="ORD0421"/>
    <x v="85"/>
    <s v="Desk"/>
    <x v="1"/>
    <x v="3"/>
    <s v="In-Store"/>
    <s v="Net Banking"/>
    <n v="1"/>
    <n v="9411.9"/>
    <x v="420"/>
    <n v="1254.75"/>
  </r>
  <r>
    <s v="ORD0422"/>
    <x v="179"/>
    <s v="Headphones"/>
    <x v="0"/>
    <x v="1"/>
    <s v="Online"/>
    <s v="Cash"/>
    <n v="2"/>
    <n v="1951.57"/>
    <x v="421"/>
    <n v="501.33"/>
  </r>
  <r>
    <s v="ORD0423"/>
    <x v="112"/>
    <s v="Notebook"/>
    <x v="3"/>
    <x v="1"/>
    <s v="Online"/>
    <s v="Debit Card"/>
    <n v="3"/>
    <n v="75.81"/>
    <x v="422"/>
    <n v="28.33"/>
  </r>
  <r>
    <s v="ORD0424"/>
    <x v="98"/>
    <s v="Laptop"/>
    <x v="0"/>
    <x v="4"/>
    <s v="Online"/>
    <s v="UPI"/>
    <n v="1"/>
    <n v="39896.14"/>
    <x v="423"/>
    <n v="14457.3"/>
  </r>
  <r>
    <s v="ORD0425"/>
    <x v="12"/>
    <s v="Pen Pack"/>
    <x v="3"/>
    <x v="2"/>
    <s v="In-Store"/>
    <s v="Cash"/>
    <n v="2"/>
    <n v="118.07"/>
    <x v="424"/>
    <n v="79.52"/>
  </r>
  <r>
    <s v="ORD0426"/>
    <x v="47"/>
    <s v="Water Bottle"/>
    <x v="2"/>
    <x v="3"/>
    <s v="Online"/>
    <s v="Credit Card"/>
    <n v="1"/>
    <n v="373.02"/>
    <x v="425"/>
    <n v="65.25"/>
  </r>
  <r>
    <s v="ORD0427"/>
    <x v="21"/>
    <s v="Smartphone"/>
    <x v="0"/>
    <x v="4"/>
    <s v="Online"/>
    <s v="UPI"/>
    <n v="3"/>
    <n v="16320.29"/>
    <x v="426"/>
    <n v="18349.54"/>
  </r>
  <r>
    <s v="ORD0428"/>
    <x v="138"/>
    <s v="Headphones"/>
    <x v="0"/>
    <x v="0"/>
    <s v="In-Store"/>
    <s v="Net Banking"/>
    <n v="4"/>
    <n v="1677.93"/>
    <x v="427"/>
    <n v="2419.5700000000002"/>
  </r>
  <r>
    <s v="ORD0429"/>
    <x v="136"/>
    <s v="Backpack"/>
    <x v="2"/>
    <x v="3"/>
    <s v="In-Store"/>
    <s v="Credit Card"/>
    <n v="3"/>
    <n v="1183.52"/>
    <x v="428"/>
    <n v="745.81"/>
  </r>
  <r>
    <s v="ORD0430"/>
    <x v="24"/>
    <s v="Smartphone"/>
    <x v="0"/>
    <x v="3"/>
    <s v="In-Store"/>
    <s v="Debit Card"/>
    <n v="1"/>
    <n v="19707.830000000002"/>
    <x v="429"/>
    <n v="5391.81"/>
  </r>
  <r>
    <s v="ORD0431"/>
    <x v="187"/>
    <s v="Office Chair"/>
    <x v="1"/>
    <x v="2"/>
    <s v="Online"/>
    <s v="UPI"/>
    <n v="1"/>
    <n v="6360.77"/>
    <x v="430"/>
    <n v="1508.06"/>
  </r>
  <r>
    <s v="ORD0432"/>
    <x v="244"/>
    <s v="Laptop"/>
    <x v="0"/>
    <x v="3"/>
    <s v="In-Store"/>
    <s v="Credit Card"/>
    <n v="2"/>
    <n v="40274.22"/>
    <x v="431"/>
    <n v="16743.990000000002"/>
  </r>
  <r>
    <s v="ORD0433"/>
    <x v="245"/>
    <s v="Laptop"/>
    <x v="0"/>
    <x v="2"/>
    <s v="Online"/>
    <s v="Debit Card"/>
    <n v="1"/>
    <n v="43160.800000000003"/>
    <x v="432"/>
    <n v="5436.75"/>
  </r>
  <r>
    <s v="ORD0434"/>
    <x v="117"/>
    <s v="Backpack"/>
    <x v="2"/>
    <x v="3"/>
    <s v="In-Store"/>
    <s v="Credit Card"/>
    <n v="2"/>
    <n v="1238.6500000000001"/>
    <x v="433"/>
    <n v="882.67"/>
  </r>
  <r>
    <s v="ORD0435"/>
    <x v="246"/>
    <s v="Pen Pack"/>
    <x v="3"/>
    <x v="2"/>
    <s v="In-Store"/>
    <s v="Credit Card"/>
    <n v="1"/>
    <n v="118.7"/>
    <x v="434"/>
    <n v="36.979999999999997"/>
  </r>
  <r>
    <s v="ORD0436"/>
    <x v="9"/>
    <s v="Monitor"/>
    <x v="0"/>
    <x v="0"/>
    <s v="In-Store"/>
    <s v="Net Banking"/>
    <n v="1"/>
    <n v="12605.36"/>
    <x v="435"/>
    <n v="2602.48"/>
  </r>
  <r>
    <s v="ORD0437"/>
    <x v="180"/>
    <s v="Monitor"/>
    <x v="0"/>
    <x v="3"/>
    <s v="In-Store"/>
    <s v="Net Banking"/>
    <n v="1"/>
    <n v="10946.36"/>
    <x v="436"/>
    <n v="3057.89"/>
  </r>
  <r>
    <s v="ORD0438"/>
    <x v="86"/>
    <s v="Backpack"/>
    <x v="2"/>
    <x v="2"/>
    <s v="Online"/>
    <s v="Net Banking"/>
    <n v="2"/>
    <n v="1136.55"/>
    <x v="437"/>
    <n v="687.15"/>
  </r>
  <r>
    <s v="ORD0439"/>
    <x v="247"/>
    <s v="Water Bottle"/>
    <x v="2"/>
    <x v="0"/>
    <s v="In-Store"/>
    <s v="Credit Card"/>
    <n v="3"/>
    <n v="362.43"/>
    <x v="438"/>
    <n v="237.82"/>
  </r>
  <r>
    <s v="ORD0440"/>
    <x v="27"/>
    <s v="Office Chair"/>
    <x v="1"/>
    <x v="2"/>
    <s v="Online"/>
    <s v="Credit Card"/>
    <n v="3"/>
    <n v="6014.04"/>
    <x v="439"/>
    <n v="4869.97"/>
  </r>
  <r>
    <s v="ORD0441"/>
    <x v="32"/>
    <s v="Desk"/>
    <x v="1"/>
    <x v="0"/>
    <s v="In-Store"/>
    <s v="Net Banking"/>
    <n v="1"/>
    <n v="9408.7900000000009"/>
    <x v="440"/>
    <n v="1600.35"/>
  </r>
  <r>
    <s v="ORD0442"/>
    <x v="117"/>
    <s v="Water Bottle"/>
    <x v="2"/>
    <x v="0"/>
    <s v="In-Store"/>
    <s v="UPI"/>
    <n v="1"/>
    <n v="334.33"/>
    <x v="441"/>
    <n v="87.22"/>
  </r>
  <r>
    <s v="ORD0443"/>
    <x v="226"/>
    <s v="Headphones"/>
    <x v="0"/>
    <x v="0"/>
    <s v="Online"/>
    <s v="Net Banking"/>
    <n v="1"/>
    <n v="1831.66"/>
    <x v="442"/>
    <n v="334.87"/>
  </r>
  <r>
    <s v="ORD0444"/>
    <x v="248"/>
    <s v="Desk"/>
    <x v="1"/>
    <x v="4"/>
    <s v="In-Store"/>
    <s v="Cash"/>
    <n v="4"/>
    <n v="9684.24"/>
    <x v="443"/>
    <n v="5878.24"/>
  </r>
  <r>
    <s v="ORD0445"/>
    <x v="247"/>
    <s v="Monitor"/>
    <x v="0"/>
    <x v="3"/>
    <s v="In-Store"/>
    <s v="UPI"/>
    <n v="2"/>
    <n v="11213.28"/>
    <x v="444"/>
    <n v="6172.39"/>
  </r>
  <r>
    <s v="ORD0446"/>
    <x v="10"/>
    <s v="Notebook"/>
    <x v="3"/>
    <x v="4"/>
    <s v="In-Store"/>
    <s v="UPI"/>
    <n v="2"/>
    <n v="72.790000000000006"/>
    <x v="445"/>
    <n v="37.33"/>
  </r>
  <r>
    <s v="ORD0447"/>
    <x v="249"/>
    <s v="Desk"/>
    <x v="1"/>
    <x v="0"/>
    <s v="Online"/>
    <s v="Credit Card"/>
    <n v="1"/>
    <n v="9617.1200000000008"/>
    <x v="446"/>
    <n v="1508.53"/>
  </r>
  <r>
    <s v="ORD0448"/>
    <x v="37"/>
    <s v="Mouse"/>
    <x v="0"/>
    <x v="2"/>
    <s v="Online"/>
    <s v="Credit Card"/>
    <n v="2"/>
    <n v="532.58000000000004"/>
    <x v="447"/>
    <n v="330.15"/>
  </r>
  <r>
    <s v="ORD0449"/>
    <x v="26"/>
    <s v="Office Chair"/>
    <x v="1"/>
    <x v="3"/>
    <s v="In-Store"/>
    <s v="UPI"/>
    <n v="4"/>
    <n v="6379.32"/>
    <x v="448"/>
    <n v="6482.42"/>
  </r>
  <r>
    <s v="ORD0450"/>
    <x v="22"/>
    <s v="Headphones"/>
    <x v="0"/>
    <x v="3"/>
    <s v="Online"/>
    <s v="Credit Card"/>
    <n v="1"/>
    <n v="1875.44"/>
    <x v="449"/>
    <n v="515.97"/>
  </r>
  <r>
    <s v="ORD0451"/>
    <x v="25"/>
    <s v="Office Chair"/>
    <x v="1"/>
    <x v="4"/>
    <s v="Online"/>
    <s v="Debit Card"/>
    <n v="3"/>
    <n v="6174.34"/>
    <x v="450"/>
    <n v="4840.5"/>
  </r>
  <r>
    <s v="ORD0452"/>
    <x v="156"/>
    <s v="Backpack"/>
    <x v="2"/>
    <x v="0"/>
    <s v="Online"/>
    <s v="Debit Card"/>
    <n v="2"/>
    <n v="1232.5"/>
    <x v="451"/>
    <n v="857.31"/>
  </r>
  <r>
    <s v="ORD0453"/>
    <x v="71"/>
    <s v="Monitor"/>
    <x v="0"/>
    <x v="3"/>
    <s v="In-Store"/>
    <s v="Debit Card"/>
    <n v="2"/>
    <n v="13105.25"/>
    <x v="452"/>
    <n v="6725.84"/>
  </r>
  <r>
    <s v="ORD0454"/>
    <x v="250"/>
    <s v="Desk"/>
    <x v="1"/>
    <x v="2"/>
    <s v="Online"/>
    <s v="Credit Card"/>
    <n v="3"/>
    <n v="9339.93"/>
    <x v="453"/>
    <n v="8570.75"/>
  </r>
  <r>
    <s v="ORD0455"/>
    <x v="247"/>
    <s v="Office Chair"/>
    <x v="1"/>
    <x v="4"/>
    <s v="In-Store"/>
    <s v="Net Banking"/>
    <n v="3"/>
    <n v="6691.59"/>
    <x v="454"/>
    <n v="4091.22"/>
  </r>
  <r>
    <s v="ORD0456"/>
    <x v="251"/>
    <s v="Keyboard"/>
    <x v="0"/>
    <x v="3"/>
    <s v="Online"/>
    <s v="Credit Card"/>
    <n v="1"/>
    <n v="974.07"/>
    <x v="455"/>
    <n v="206.19"/>
  </r>
  <r>
    <s v="ORD0457"/>
    <x v="252"/>
    <s v="Monitor"/>
    <x v="0"/>
    <x v="4"/>
    <s v="In-Store"/>
    <s v="Cash"/>
    <n v="3"/>
    <n v="11533.1"/>
    <x v="456"/>
    <n v="4448.5600000000004"/>
  </r>
  <r>
    <s v="ORD0458"/>
    <x v="253"/>
    <s v="Backpack"/>
    <x v="2"/>
    <x v="3"/>
    <s v="In-Store"/>
    <s v="Net Banking"/>
    <n v="1"/>
    <n v="1192.01"/>
    <x v="457"/>
    <n v="243.09"/>
  </r>
  <r>
    <s v="ORD0459"/>
    <x v="254"/>
    <s v="Laptop"/>
    <x v="0"/>
    <x v="4"/>
    <s v="In-Store"/>
    <s v="Debit Card"/>
    <n v="2"/>
    <n v="43363.79"/>
    <x v="458"/>
    <n v="13941.13"/>
  </r>
  <r>
    <s v="ORD0460"/>
    <x v="255"/>
    <s v="Smartphone"/>
    <x v="0"/>
    <x v="4"/>
    <s v="In-Store"/>
    <s v="Debit Card"/>
    <n v="2"/>
    <n v="17410.62"/>
    <x v="459"/>
    <n v="10728.92"/>
  </r>
  <r>
    <s v="ORD0461"/>
    <x v="140"/>
    <s v="Mouse"/>
    <x v="0"/>
    <x v="3"/>
    <s v="Online"/>
    <s v="UPI"/>
    <n v="5"/>
    <n v="515.15"/>
    <x v="460"/>
    <n v="852.64"/>
  </r>
  <r>
    <s v="ORD0462"/>
    <x v="127"/>
    <s v="Pen Pack"/>
    <x v="3"/>
    <x v="2"/>
    <s v="In-Store"/>
    <s v="Debit Card"/>
    <n v="2"/>
    <n v="124.34"/>
    <x v="461"/>
    <n v="47.86"/>
  </r>
  <r>
    <s v="ORD0463"/>
    <x v="2"/>
    <s v="Pen Pack"/>
    <x v="3"/>
    <x v="3"/>
    <s v="Online"/>
    <s v="Debit Card"/>
    <n v="1"/>
    <n v="108.85"/>
    <x v="462"/>
    <n v="21.32"/>
  </r>
  <r>
    <s v="ORD0464"/>
    <x v="113"/>
    <s v="Keyboard"/>
    <x v="0"/>
    <x v="4"/>
    <s v="In-Store"/>
    <s v="Credit Card"/>
    <n v="2"/>
    <n v="951.28"/>
    <x v="463"/>
    <n v="274.55"/>
  </r>
  <r>
    <s v="ORD0465"/>
    <x v="128"/>
    <s v="Water Bottle"/>
    <x v="2"/>
    <x v="4"/>
    <s v="Online"/>
    <s v="Debit Card"/>
    <n v="1"/>
    <n v="321.83"/>
    <x v="464"/>
    <n v="111.59"/>
  </r>
  <r>
    <s v="ORD0466"/>
    <x v="140"/>
    <s v="Smartphone"/>
    <x v="0"/>
    <x v="2"/>
    <s v="In-Store"/>
    <s v="Debit Card"/>
    <n v="1"/>
    <n v="17003.98"/>
    <x v="465"/>
    <n v="2608.88"/>
  </r>
  <r>
    <s v="ORD0467"/>
    <x v="48"/>
    <s v="Monitor"/>
    <x v="0"/>
    <x v="3"/>
    <s v="Online"/>
    <s v="Cash"/>
    <n v="1"/>
    <n v="12842.91"/>
    <x v="466"/>
    <n v="3309.11"/>
  </r>
  <r>
    <s v="ORD0468"/>
    <x v="79"/>
    <s v="Water Bottle"/>
    <x v="2"/>
    <x v="2"/>
    <s v="Online"/>
    <s v="Credit Card"/>
    <n v="1"/>
    <n v="362.65"/>
    <x v="467"/>
    <n v="87.85"/>
  </r>
  <r>
    <s v="ORD0469"/>
    <x v="256"/>
    <s v="Office Chair"/>
    <x v="1"/>
    <x v="2"/>
    <s v="Online"/>
    <s v="Debit Card"/>
    <n v="1"/>
    <n v="7133.35"/>
    <x v="468"/>
    <n v="1054.74"/>
  </r>
  <r>
    <s v="ORD0470"/>
    <x v="257"/>
    <s v="Smartphone"/>
    <x v="0"/>
    <x v="0"/>
    <s v="Online"/>
    <s v="Cash"/>
    <n v="2"/>
    <n v="18471.72"/>
    <x v="469"/>
    <n v="12340.06"/>
  </r>
  <r>
    <s v="ORD0471"/>
    <x v="60"/>
    <s v="Office Chair"/>
    <x v="1"/>
    <x v="2"/>
    <s v="Online"/>
    <s v="Credit Card"/>
    <n v="3"/>
    <n v="6069.19"/>
    <x v="470"/>
    <n v="3299.83"/>
  </r>
  <r>
    <s v="ORD0472"/>
    <x v="136"/>
    <s v="Pen Pack"/>
    <x v="3"/>
    <x v="2"/>
    <s v="Online"/>
    <s v="UPI"/>
    <n v="2"/>
    <n v="117.68"/>
    <x v="471"/>
    <n v="30.36"/>
  </r>
  <r>
    <s v="ORD0473"/>
    <x v="258"/>
    <s v="Office Chair"/>
    <x v="1"/>
    <x v="3"/>
    <s v="Online"/>
    <s v="UPI"/>
    <n v="3"/>
    <n v="7085.09"/>
    <x v="472"/>
    <n v="3147.45"/>
  </r>
  <r>
    <s v="ORD0474"/>
    <x v="259"/>
    <s v="Laptop"/>
    <x v="0"/>
    <x v="4"/>
    <s v="In-Store"/>
    <s v="Credit Card"/>
    <n v="2"/>
    <n v="39890.11"/>
    <x v="473"/>
    <n v="15930.8"/>
  </r>
  <r>
    <s v="ORD0475"/>
    <x v="254"/>
    <s v="Pen Pack"/>
    <x v="3"/>
    <x v="0"/>
    <s v="In-Store"/>
    <s v="Debit Card"/>
    <n v="2"/>
    <n v="115.35"/>
    <x v="474"/>
    <n v="83.75"/>
  </r>
  <r>
    <s v="ORD0476"/>
    <x v="101"/>
    <s v="Mouse"/>
    <x v="0"/>
    <x v="1"/>
    <s v="In-Store"/>
    <s v="Cash"/>
    <n v="2"/>
    <n v="502.41"/>
    <x v="475"/>
    <n v="268.54000000000002"/>
  </r>
  <r>
    <s v="ORD0477"/>
    <x v="260"/>
    <s v="Office Chair"/>
    <x v="1"/>
    <x v="0"/>
    <s v="Online"/>
    <s v="Credit Card"/>
    <n v="1"/>
    <n v="7028.96"/>
    <x v="476"/>
    <n v="1187.04"/>
  </r>
  <r>
    <s v="ORD0478"/>
    <x v="193"/>
    <s v="Office Chair"/>
    <x v="1"/>
    <x v="4"/>
    <s v="Online"/>
    <s v="Cash"/>
    <n v="3"/>
    <n v="6616.6"/>
    <x v="477"/>
    <n v="6670.8"/>
  </r>
  <r>
    <s v="ORD0479"/>
    <x v="0"/>
    <s v="Desk"/>
    <x v="1"/>
    <x v="0"/>
    <s v="Online"/>
    <s v="UPI"/>
    <n v="3"/>
    <n v="9221.64"/>
    <x v="478"/>
    <n v="6240.65"/>
  </r>
  <r>
    <s v="ORD0480"/>
    <x v="12"/>
    <s v="Mouse"/>
    <x v="0"/>
    <x v="4"/>
    <s v="In-Store"/>
    <s v="Credit Card"/>
    <n v="1"/>
    <n v="494.43"/>
    <x v="479"/>
    <n v="172"/>
  </r>
  <r>
    <s v="ORD0481"/>
    <x v="119"/>
    <s v="Mouse"/>
    <x v="0"/>
    <x v="0"/>
    <s v="In-Store"/>
    <s v="Net Banking"/>
    <n v="2"/>
    <n v="450.93"/>
    <x v="480"/>
    <n v="244.02"/>
  </r>
  <r>
    <s v="ORD0482"/>
    <x v="261"/>
    <s v="Mouse"/>
    <x v="0"/>
    <x v="3"/>
    <s v="Online"/>
    <s v="Debit Card"/>
    <n v="1"/>
    <n v="533.07000000000005"/>
    <x v="481"/>
    <n v="188.03"/>
  </r>
  <r>
    <s v="ORD0483"/>
    <x v="81"/>
    <s v="Smartphone"/>
    <x v="0"/>
    <x v="3"/>
    <s v="Online"/>
    <s v="Debit Card"/>
    <n v="2"/>
    <n v="18392.41"/>
    <x v="482"/>
    <n v="6537.79"/>
  </r>
  <r>
    <s v="ORD0484"/>
    <x v="262"/>
    <s v="Pen Pack"/>
    <x v="3"/>
    <x v="1"/>
    <s v="In-Store"/>
    <s v="Debit Card"/>
    <n v="1"/>
    <n v="108.95"/>
    <x v="483"/>
    <n v="27.34"/>
  </r>
  <r>
    <s v="ORD0485"/>
    <x v="263"/>
    <s v="Laptop"/>
    <x v="0"/>
    <x v="3"/>
    <s v="In-Store"/>
    <s v="Credit Card"/>
    <n v="1"/>
    <n v="38547.620000000003"/>
    <x v="484"/>
    <n v="13541.31"/>
  </r>
  <r>
    <s v="ORD0486"/>
    <x v="148"/>
    <s v="Water Bottle"/>
    <x v="2"/>
    <x v="1"/>
    <s v="In-Store"/>
    <s v="Debit Card"/>
    <n v="1"/>
    <n v="365.65"/>
    <x v="485"/>
    <n v="52.93"/>
  </r>
  <r>
    <s v="ORD0487"/>
    <x v="35"/>
    <s v="Backpack"/>
    <x v="2"/>
    <x v="4"/>
    <s v="In-Store"/>
    <s v="Debit Card"/>
    <n v="1"/>
    <n v="1275.1600000000001"/>
    <x v="486"/>
    <n v="194.75"/>
  </r>
  <r>
    <s v="ORD0488"/>
    <x v="264"/>
    <s v="Mouse"/>
    <x v="0"/>
    <x v="0"/>
    <s v="Online"/>
    <s v="Credit Card"/>
    <n v="1"/>
    <n v="535.12"/>
    <x v="487"/>
    <n v="79.48"/>
  </r>
  <r>
    <s v="ORD0489"/>
    <x v="265"/>
    <s v="Notebook"/>
    <x v="3"/>
    <x v="0"/>
    <s v="In-Store"/>
    <s v="Debit Card"/>
    <n v="4"/>
    <n v="87.28"/>
    <x v="488"/>
    <n v="108.31"/>
  </r>
  <r>
    <s v="ORD0490"/>
    <x v="266"/>
    <s v="Smartphone"/>
    <x v="0"/>
    <x v="2"/>
    <s v="In-Store"/>
    <s v="Cash"/>
    <n v="1"/>
    <n v="19664.32"/>
    <x v="489"/>
    <n v="6082.63"/>
  </r>
  <r>
    <s v="ORD0491"/>
    <x v="150"/>
    <s v="Headphones"/>
    <x v="0"/>
    <x v="1"/>
    <s v="Online"/>
    <s v="Cash"/>
    <n v="1"/>
    <n v="1870.62"/>
    <x v="490"/>
    <n v="682.31"/>
  </r>
  <r>
    <s v="ORD0492"/>
    <x v="199"/>
    <s v="Backpack"/>
    <x v="2"/>
    <x v="2"/>
    <s v="In-Store"/>
    <s v="Net Banking"/>
    <n v="3"/>
    <n v="1242.81"/>
    <x v="491"/>
    <n v="1241.0899999999999"/>
  </r>
  <r>
    <s v="ORD0493"/>
    <x v="267"/>
    <s v="Keyboard"/>
    <x v="0"/>
    <x v="2"/>
    <s v="In-Store"/>
    <s v="UPI"/>
    <n v="4"/>
    <n v="940.91"/>
    <x v="492"/>
    <n v="557.54999999999995"/>
  </r>
  <r>
    <s v="ORD0494"/>
    <x v="268"/>
    <s v="Backpack"/>
    <x v="2"/>
    <x v="3"/>
    <s v="Online"/>
    <s v="Debit Card"/>
    <n v="1"/>
    <n v="1142.79"/>
    <x v="493"/>
    <n v="340.89"/>
  </r>
  <r>
    <s v="ORD0495"/>
    <x v="181"/>
    <s v="Water Bottle"/>
    <x v="2"/>
    <x v="1"/>
    <s v="In-Store"/>
    <s v="Debit Card"/>
    <n v="2"/>
    <n v="358.28"/>
    <x v="494"/>
    <n v="191.65"/>
  </r>
  <r>
    <s v="ORD0496"/>
    <x v="269"/>
    <s v="Keyboard"/>
    <x v="0"/>
    <x v="3"/>
    <s v="Online"/>
    <s v="UPI"/>
    <n v="2"/>
    <n v="836.76"/>
    <x v="495"/>
    <n v="276.33999999999997"/>
  </r>
  <r>
    <s v="ORD0497"/>
    <x v="200"/>
    <s v="Headphones"/>
    <x v="0"/>
    <x v="1"/>
    <s v="Online"/>
    <s v="Cash"/>
    <n v="2"/>
    <n v="1788.94"/>
    <x v="496"/>
    <n v="898.34"/>
  </r>
  <r>
    <s v="ORD0498"/>
    <x v="92"/>
    <s v="Office Chair"/>
    <x v="1"/>
    <x v="3"/>
    <s v="In-Store"/>
    <s v="Cash"/>
    <n v="1"/>
    <n v="6211.6"/>
    <x v="497"/>
    <n v="1541.71"/>
  </r>
  <r>
    <s v="ORD0499"/>
    <x v="263"/>
    <s v="Smartphone"/>
    <x v="0"/>
    <x v="2"/>
    <s v="In-Store"/>
    <s v="Debit Card"/>
    <n v="2"/>
    <n v="19084.54"/>
    <x v="498"/>
    <n v="10057.34"/>
  </r>
  <r>
    <s v="ORD0500"/>
    <x v="196"/>
    <s v="Backpack"/>
    <x v="2"/>
    <x v="0"/>
    <s v="Online"/>
    <s v="UPI"/>
    <n v="3"/>
    <n v="1084.26"/>
    <x v="499"/>
    <n v="894.86"/>
  </r>
  <r>
    <s v="ORD0501"/>
    <x v="146"/>
    <s v="Monitor"/>
    <x v="0"/>
    <x v="2"/>
    <s v="In-Store"/>
    <s v="Debit Card"/>
    <n v="2"/>
    <n v="12936.27"/>
    <x v="500"/>
    <n v="6048.83"/>
  </r>
  <r>
    <s v="ORD0502"/>
    <x v="24"/>
    <s v="Office Chair"/>
    <x v="1"/>
    <x v="3"/>
    <s v="In-Store"/>
    <s v="Debit Card"/>
    <n v="3"/>
    <n v="6281.56"/>
    <x v="501"/>
    <n v="3400.93"/>
  </r>
  <r>
    <s v="ORD0503"/>
    <x v="21"/>
    <s v="Smartphone"/>
    <x v="0"/>
    <x v="4"/>
    <s v="In-Store"/>
    <s v="Net Banking"/>
    <n v="1"/>
    <n v="18572.080000000002"/>
    <x v="502"/>
    <n v="7046.78"/>
  </r>
  <r>
    <s v="ORD0504"/>
    <x v="139"/>
    <s v="Notebook"/>
    <x v="3"/>
    <x v="1"/>
    <s v="In-Store"/>
    <s v="UPI"/>
    <n v="3"/>
    <n v="72.73"/>
    <x v="503"/>
    <n v="73.599999999999994"/>
  </r>
  <r>
    <s v="ORD0505"/>
    <x v="194"/>
    <s v="Monitor"/>
    <x v="0"/>
    <x v="1"/>
    <s v="In-Store"/>
    <s v="Credit Card"/>
    <n v="1"/>
    <n v="11089.79"/>
    <x v="504"/>
    <n v="1756.95"/>
  </r>
  <r>
    <s v="ORD0506"/>
    <x v="270"/>
    <s v="Smartphone"/>
    <x v="0"/>
    <x v="3"/>
    <s v="Online"/>
    <s v="Cash"/>
    <n v="3"/>
    <n v="16367.4"/>
    <x v="505"/>
    <n v="10574.53"/>
  </r>
  <r>
    <s v="ORD0507"/>
    <x v="271"/>
    <s v="Keyboard"/>
    <x v="0"/>
    <x v="0"/>
    <s v="Online"/>
    <s v="Net Banking"/>
    <n v="2"/>
    <n v="900.76"/>
    <x v="506"/>
    <n v="233.11"/>
  </r>
  <r>
    <s v="ORD0508"/>
    <x v="165"/>
    <s v="Monitor"/>
    <x v="0"/>
    <x v="1"/>
    <s v="Online"/>
    <s v="Credit Card"/>
    <n v="2"/>
    <n v="12020"/>
    <x v="507"/>
    <n v="3377.57"/>
  </r>
  <r>
    <s v="ORD0509"/>
    <x v="272"/>
    <s v="Pen Pack"/>
    <x v="3"/>
    <x v="2"/>
    <s v="In-Store"/>
    <s v="Net Banking"/>
    <n v="2"/>
    <n v="122.55"/>
    <x v="508"/>
    <n v="72.63"/>
  </r>
  <r>
    <s v="ORD0510"/>
    <x v="273"/>
    <s v="Office Chair"/>
    <x v="1"/>
    <x v="2"/>
    <s v="Online"/>
    <s v="Credit Card"/>
    <n v="1"/>
    <n v="7102.67"/>
    <x v="509"/>
    <n v="906.81"/>
  </r>
  <r>
    <s v="ORD0511"/>
    <x v="180"/>
    <s v="Monitor"/>
    <x v="0"/>
    <x v="3"/>
    <s v="In-Store"/>
    <s v="Net Banking"/>
    <n v="3"/>
    <n v="12596.22"/>
    <x v="510"/>
    <n v="11422.85"/>
  </r>
  <r>
    <s v="ORD0512"/>
    <x v="103"/>
    <s v="Office Chair"/>
    <x v="1"/>
    <x v="4"/>
    <s v="Online"/>
    <s v="Credit Card"/>
    <n v="1"/>
    <n v="6661.42"/>
    <x v="511"/>
    <n v="2028.06"/>
  </r>
  <r>
    <s v="ORD0513"/>
    <x v="149"/>
    <s v="Water Bottle"/>
    <x v="2"/>
    <x v="4"/>
    <s v="In-Store"/>
    <s v="Net Banking"/>
    <n v="2"/>
    <n v="337.57"/>
    <x v="512"/>
    <n v="236.3"/>
  </r>
  <r>
    <s v="ORD0514"/>
    <x v="247"/>
    <s v="Keyboard"/>
    <x v="0"/>
    <x v="3"/>
    <s v="In-Store"/>
    <s v="Cash"/>
    <n v="3"/>
    <n v="931.36"/>
    <x v="513"/>
    <n v="412.39"/>
  </r>
  <r>
    <s v="ORD0515"/>
    <x v="274"/>
    <s v="Water Bottle"/>
    <x v="2"/>
    <x v="0"/>
    <s v="Online"/>
    <s v="Debit Card"/>
    <n v="1"/>
    <n v="341.66"/>
    <x v="514"/>
    <n v="125.12"/>
  </r>
  <r>
    <s v="ORD0516"/>
    <x v="40"/>
    <s v="Desk"/>
    <x v="1"/>
    <x v="4"/>
    <s v="Online"/>
    <s v="Net Banking"/>
    <n v="2"/>
    <n v="8363.57"/>
    <x v="515"/>
    <n v="6086.53"/>
  </r>
  <r>
    <s v="ORD0517"/>
    <x v="179"/>
    <s v="Notebook"/>
    <x v="3"/>
    <x v="3"/>
    <s v="Online"/>
    <s v="Net Banking"/>
    <n v="3"/>
    <n v="73.64"/>
    <x v="516"/>
    <n v="34.090000000000003"/>
  </r>
  <r>
    <s v="ORD0518"/>
    <x v="275"/>
    <s v="Office Chair"/>
    <x v="1"/>
    <x v="0"/>
    <s v="In-Store"/>
    <s v="Cash"/>
    <n v="2"/>
    <n v="6885.88"/>
    <x v="517"/>
    <n v="2740.67"/>
  </r>
  <r>
    <s v="ORD0519"/>
    <x v="167"/>
    <s v="Keyboard"/>
    <x v="0"/>
    <x v="4"/>
    <s v="Online"/>
    <s v="Net Banking"/>
    <n v="1"/>
    <n v="909.38"/>
    <x v="518"/>
    <n v="342.5"/>
  </r>
  <r>
    <s v="ORD0520"/>
    <x v="26"/>
    <s v="Office Chair"/>
    <x v="1"/>
    <x v="3"/>
    <s v="Online"/>
    <s v="Credit Card"/>
    <n v="4"/>
    <n v="6766.02"/>
    <x v="519"/>
    <n v="5727.18"/>
  </r>
  <r>
    <s v="ORD0521"/>
    <x v="276"/>
    <s v="Backpack"/>
    <x v="2"/>
    <x v="1"/>
    <s v="Online"/>
    <s v="Cash"/>
    <n v="1"/>
    <n v="1243.8399999999999"/>
    <x v="520"/>
    <n v="412.19"/>
  </r>
  <r>
    <s v="ORD0522"/>
    <x v="277"/>
    <s v="Pen Pack"/>
    <x v="3"/>
    <x v="4"/>
    <s v="Online"/>
    <s v="Debit Card"/>
    <n v="1"/>
    <n v="114.34"/>
    <x v="521"/>
    <n v="38.67"/>
  </r>
  <r>
    <s v="ORD0523"/>
    <x v="189"/>
    <s v="Mouse"/>
    <x v="0"/>
    <x v="3"/>
    <s v="Online"/>
    <s v="Net Banking"/>
    <n v="4"/>
    <n v="453.99"/>
    <x v="522"/>
    <n v="251.61"/>
  </r>
  <r>
    <s v="ORD0524"/>
    <x v="84"/>
    <s v="Desk"/>
    <x v="1"/>
    <x v="4"/>
    <s v="Online"/>
    <s v="Credit Card"/>
    <n v="2"/>
    <n v="9130.82"/>
    <x v="523"/>
    <n v="5239.22"/>
  </r>
  <r>
    <s v="ORD0525"/>
    <x v="278"/>
    <s v="Smartphone"/>
    <x v="0"/>
    <x v="2"/>
    <s v="Online"/>
    <s v="Debit Card"/>
    <n v="3"/>
    <n v="16773.73"/>
    <x v="524"/>
    <n v="12016.66"/>
  </r>
  <r>
    <s v="ORD0526"/>
    <x v="113"/>
    <s v="Office Chair"/>
    <x v="1"/>
    <x v="3"/>
    <s v="In-Store"/>
    <s v="Net Banking"/>
    <n v="2"/>
    <n v="6280.39"/>
    <x v="525"/>
    <n v="3814.34"/>
  </r>
  <r>
    <s v="ORD0527"/>
    <x v="150"/>
    <s v="Laptop"/>
    <x v="0"/>
    <x v="3"/>
    <s v="Online"/>
    <s v="UPI"/>
    <n v="1"/>
    <n v="40706.46"/>
    <x v="526"/>
    <n v="12924.69"/>
  </r>
  <r>
    <s v="ORD0528"/>
    <x v="279"/>
    <s v="Notebook"/>
    <x v="3"/>
    <x v="4"/>
    <s v="In-Store"/>
    <s v="UPI"/>
    <n v="1"/>
    <n v="84.74"/>
    <x v="527"/>
    <n v="29.7"/>
  </r>
  <r>
    <s v="ORD0529"/>
    <x v="280"/>
    <s v="Notebook"/>
    <x v="3"/>
    <x v="4"/>
    <s v="Online"/>
    <s v="Debit Card"/>
    <n v="2"/>
    <n v="80.14"/>
    <x v="528"/>
    <n v="40.619999999999997"/>
  </r>
  <r>
    <s v="ORD0530"/>
    <x v="22"/>
    <s v="Smartphone"/>
    <x v="0"/>
    <x v="3"/>
    <s v="Online"/>
    <s v="UPI"/>
    <n v="4"/>
    <n v="16802.62"/>
    <x v="529"/>
    <n v="8829.32"/>
  </r>
  <r>
    <s v="ORD0531"/>
    <x v="281"/>
    <s v="Keyboard"/>
    <x v="0"/>
    <x v="0"/>
    <s v="Online"/>
    <s v="Net Banking"/>
    <n v="2"/>
    <n v="848.37"/>
    <x v="530"/>
    <n v="342.39"/>
  </r>
  <r>
    <s v="ORD0532"/>
    <x v="45"/>
    <s v="Mouse"/>
    <x v="0"/>
    <x v="1"/>
    <s v="Online"/>
    <s v="Cash"/>
    <n v="3"/>
    <n v="514.66"/>
    <x v="531"/>
    <n v="209.46"/>
  </r>
  <r>
    <s v="ORD0533"/>
    <x v="282"/>
    <s v="Laptop"/>
    <x v="0"/>
    <x v="3"/>
    <s v="Online"/>
    <s v="Net Banking"/>
    <n v="1"/>
    <n v="38255.85"/>
    <x v="532"/>
    <n v="6637.55"/>
  </r>
  <r>
    <s v="ORD0534"/>
    <x v="283"/>
    <s v="Desk"/>
    <x v="1"/>
    <x v="4"/>
    <s v="Online"/>
    <s v="Cash"/>
    <n v="1"/>
    <n v="8912.0300000000007"/>
    <x v="533"/>
    <n v="2449.41"/>
  </r>
  <r>
    <s v="ORD0535"/>
    <x v="284"/>
    <s v="Smartphone"/>
    <x v="0"/>
    <x v="3"/>
    <s v="Online"/>
    <s v="UPI"/>
    <n v="2"/>
    <n v="18509.12"/>
    <x v="534"/>
    <n v="8115.48"/>
  </r>
  <r>
    <s v="ORD0536"/>
    <x v="260"/>
    <s v="Water Bottle"/>
    <x v="2"/>
    <x v="0"/>
    <s v="In-Store"/>
    <s v="Cash"/>
    <n v="1"/>
    <n v="370.08"/>
    <x v="535"/>
    <n v="111.63"/>
  </r>
  <r>
    <s v="ORD0537"/>
    <x v="13"/>
    <s v="Pen Pack"/>
    <x v="3"/>
    <x v="1"/>
    <s v="Online"/>
    <s v="Cash"/>
    <n v="3"/>
    <n v="108.74"/>
    <x v="536"/>
    <n v="110.7"/>
  </r>
  <r>
    <s v="ORD0538"/>
    <x v="41"/>
    <s v="Desk"/>
    <x v="1"/>
    <x v="4"/>
    <s v="Online"/>
    <s v="Net Banking"/>
    <n v="5"/>
    <n v="8359.34"/>
    <x v="537"/>
    <n v="8522.5499999999993"/>
  </r>
  <r>
    <s v="ORD0539"/>
    <x v="285"/>
    <s v="Headphones"/>
    <x v="0"/>
    <x v="3"/>
    <s v="Online"/>
    <s v="Debit Card"/>
    <n v="1"/>
    <n v="1621.81"/>
    <x v="538"/>
    <n v="364.7"/>
  </r>
  <r>
    <s v="ORD0540"/>
    <x v="281"/>
    <s v="Mouse"/>
    <x v="0"/>
    <x v="3"/>
    <s v="Online"/>
    <s v="Credit Card"/>
    <n v="3"/>
    <n v="522.59"/>
    <x v="539"/>
    <n v="509.44"/>
  </r>
  <r>
    <s v="ORD0541"/>
    <x v="286"/>
    <s v="Office Chair"/>
    <x v="1"/>
    <x v="3"/>
    <s v="Online"/>
    <s v="Net Banking"/>
    <n v="2"/>
    <n v="6178.56"/>
    <x v="540"/>
    <n v="4327.4399999999996"/>
  </r>
  <r>
    <s v="ORD0542"/>
    <x v="94"/>
    <s v="Keyboard"/>
    <x v="0"/>
    <x v="0"/>
    <s v="Online"/>
    <s v="Net Banking"/>
    <n v="2"/>
    <n v="862.32"/>
    <x v="541"/>
    <n v="625.16"/>
  </r>
  <r>
    <s v="ORD0543"/>
    <x v="75"/>
    <s v="Notebook"/>
    <x v="3"/>
    <x v="4"/>
    <s v="Online"/>
    <s v="Credit Card"/>
    <n v="1"/>
    <n v="82.74"/>
    <x v="542"/>
    <n v="26.4"/>
  </r>
  <r>
    <s v="ORD0544"/>
    <x v="164"/>
    <s v="Backpack"/>
    <x v="2"/>
    <x v="3"/>
    <s v="Online"/>
    <s v="Net Banking"/>
    <n v="2"/>
    <n v="1227.92"/>
    <x v="543"/>
    <n v="738.04"/>
  </r>
  <r>
    <s v="ORD0545"/>
    <x v="159"/>
    <s v="Notebook"/>
    <x v="3"/>
    <x v="4"/>
    <s v="Online"/>
    <s v="Credit Card"/>
    <n v="3"/>
    <n v="87.34"/>
    <x v="544"/>
    <n v="88.08"/>
  </r>
  <r>
    <s v="ORD0546"/>
    <x v="287"/>
    <s v="Mouse"/>
    <x v="0"/>
    <x v="4"/>
    <s v="In-Store"/>
    <s v="Cash"/>
    <n v="2"/>
    <n v="477.67"/>
    <x v="545"/>
    <n v="273.74"/>
  </r>
  <r>
    <s v="ORD0547"/>
    <x v="98"/>
    <s v="Notebook"/>
    <x v="3"/>
    <x v="3"/>
    <s v="Online"/>
    <s v="Debit Card"/>
    <n v="3"/>
    <n v="79.790000000000006"/>
    <x v="546"/>
    <n v="84.19"/>
  </r>
  <r>
    <s v="ORD0548"/>
    <x v="114"/>
    <s v="Water Bottle"/>
    <x v="2"/>
    <x v="0"/>
    <s v="Online"/>
    <s v="Net Banking"/>
    <n v="1"/>
    <n v="366.35"/>
    <x v="547"/>
    <n v="79.53"/>
  </r>
  <r>
    <s v="ORD0549"/>
    <x v="103"/>
    <s v="Laptop"/>
    <x v="0"/>
    <x v="1"/>
    <s v="Online"/>
    <s v="Net Banking"/>
    <n v="3"/>
    <n v="42662.77"/>
    <x v="548"/>
    <n v="23038.91"/>
  </r>
  <r>
    <s v="ORD0550"/>
    <x v="48"/>
    <s v="Water Bottle"/>
    <x v="2"/>
    <x v="1"/>
    <s v="In-Store"/>
    <s v="Cash"/>
    <n v="4"/>
    <n v="352.78"/>
    <x v="549"/>
    <n v="296.31"/>
  </r>
  <r>
    <s v="ORD0551"/>
    <x v="162"/>
    <s v="Monitor"/>
    <x v="0"/>
    <x v="3"/>
    <s v="Online"/>
    <s v="Cash"/>
    <n v="3"/>
    <n v="11498.4"/>
    <x v="550"/>
    <n v="8940.39"/>
  </r>
  <r>
    <s v="ORD0552"/>
    <x v="42"/>
    <s v="Water Bottle"/>
    <x v="2"/>
    <x v="3"/>
    <s v="Online"/>
    <s v="Net Banking"/>
    <n v="1"/>
    <n v="331.72"/>
    <x v="551"/>
    <n v="42.91"/>
  </r>
  <r>
    <s v="ORD0553"/>
    <x v="114"/>
    <s v="Backpack"/>
    <x v="2"/>
    <x v="1"/>
    <s v="In-Store"/>
    <s v="Debit Card"/>
    <n v="1"/>
    <n v="1215.93"/>
    <x v="552"/>
    <n v="283.18"/>
  </r>
  <r>
    <s v="ORD0554"/>
    <x v="277"/>
    <s v="Office Chair"/>
    <x v="1"/>
    <x v="1"/>
    <s v="Online"/>
    <s v="Credit Card"/>
    <n v="3"/>
    <n v="6151.27"/>
    <x v="553"/>
    <n v="5744.06"/>
  </r>
  <r>
    <s v="ORD0555"/>
    <x v="181"/>
    <s v="Notebook"/>
    <x v="3"/>
    <x v="0"/>
    <s v="In-Store"/>
    <s v="UPI"/>
    <n v="1"/>
    <n v="86.69"/>
    <x v="554"/>
    <n v="13.07"/>
  </r>
  <r>
    <s v="ORD0556"/>
    <x v="262"/>
    <s v="Water Bottle"/>
    <x v="2"/>
    <x v="3"/>
    <s v="Online"/>
    <s v="Cash"/>
    <n v="2"/>
    <n v="334.14"/>
    <x v="555"/>
    <n v="125.04"/>
  </r>
  <r>
    <s v="ORD0557"/>
    <x v="288"/>
    <s v="Pen Pack"/>
    <x v="3"/>
    <x v="3"/>
    <s v="In-Store"/>
    <s v="Cash"/>
    <n v="1"/>
    <n v="123.68"/>
    <x v="556"/>
    <n v="20.13"/>
  </r>
  <r>
    <s v="ORD0558"/>
    <x v="162"/>
    <s v="Water Bottle"/>
    <x v="2"/>
    <x v="2"/>
    <s v="Online"/>
    <s v="Net Banking"/>
    <n v="1"/>
    <n v="372.21"/>
    <x v="557"/>
    <n v="108.05"/>
  </r>
  <r>
    <s v="ORD0559"/>
    <x v="114"/>
    <s v="Backpack"/>
    <x v="2"/>
    <x v="1"/>
    <s v="Online"/>
    <s v="Credit Card"/>
    <n v="1"/>
    <n v="1098.5"/>
    <x v="558"/>
    <n v="233.65"/>
  </r>
  <r>
    <s v="ORD0560"/>
    <x v="106"/>
    <s v="Notebook"/>
    <x v="3"/>
    <x v="2"/>
    <s v="In-Store"/>
    <s v="UPI"/>
    <n v="2"/>
    <n v="85.07"/>
    <x v="559"/>
    <n v="35.409999999999997"/>
  </r>
  <r>
    <s v="ORD0561"/>
    <x v="289"/>
    <s v="Keyboard"/>
    <x v="0"/>
    <x v="2"/>
    <s v="Online"/>
    <s v="Credit Card"/>
    <n v="2"/>
    <n v="847.93"/>
    <x v="560"/>
    <n v="573.33000000000004"/>
  </r>
  <r>
    <s v="ORD0562"/>
    <x v="50"/>
    <s v="Headphones"/>
    <x v="0"/>
    <x v="0"/>
    <s v="Online"/>
    <s v="UPI"/>
    <n v="2"/>
    <n v="1678.01"/>
    <x v="561"/>
    <n v="725.97"/>
  </r>
  <r>
    <s v="ORD0563"/>
    <x v="27"/>
    <s v="Desk"/>
    <x v="1"/>
    <x v="3"/>
    <s v="Online"/>
    <s v="Debit Card"/>
    <n v="4"/>
    <n v="9029.9500000000007"/>
    <x v="562"/>
    <n v="9917.82"/>
  </r>
  <r>
    <s v="ORD0564"/>
    <x v="125"/>
    <s v="Office Chair"/>
    <x v="1"/>
    <x v="1"/>
    <s v="Online"/>
    <s v="Cash"/>
    <n v="2"/>
    <n v="7140.61"/>
    <x v="563"/>
    <n v="2206.4699999999998"/>
  </r>
  <r>
    <s v="ORD0565"/>
    <x v="127"/>
    <s v="Headphones"/>
    <x v="0"/>
    <x v="3"/>
    <s v="In-Store"/>
    <s v="Credit Card"/>
    <n v="3"/>
    <n v="1915.36"/>
    <x v="564"/>
    <n v="1911.78"/>
  </r>
  <r>
    <s v="ORD0566"/>
    <x v="86"/>
    <s v="Notebook"/>
    <x v="3"/>
    <x v="2"/>
    <s v="In-Store"/>
    <s v="Credit Card"/>
    <n v="4"/>
    <n v="81.540000000000006"/>
    <x v="565"/>
    <n v="118.1"/>
  </r>
  <r>
    <s v="ORD0567"/>
    <x v="68"/>
    <s v="Laptop"/>
    <x v="0"/>
    <x v="2"/>
    <s v="Online"/>
    <s v="Net Banking"/>
    <n v="1"/>
    <n v="45020.57"/>
    <x v="566"/>
    <n v="11204.11"/>
  </r>
  <r>
    <s v="ORD0568"/>
    <x v="245"/>
    <s v="Headphones"/>
    <x v="0"/>
    <x v="3"/>
    <s v="Online"/>
    <s v="UPI"/>
    <n v="2"/>
    <n v="1841.31"/>
    <x v="567"/>
    <n v="1362.02"/>
  </r>
  <r>
    <s v="ORD0569"/>
    <x v="289"/>
    <s v="Keyboard"/>
    <x v="0"/>
    <x v="2"/>
    <s v="In-Store"/>
    <s v="Debit Card"/>
    <n v="1"/>
    <n v="918.63"/>
    <x v="568"/>
    <n v="151.43"/>
  </r>
  <r>
    <s v="ORD0570"/>
    <x v="50"/>
    <s v="Mouse"/>
    <x v="0"/>
    <x v="2"/>
    <s v="In-Store"/>
    <s v="Net Banking"/>
    <n v="2"/>
    <n v="472.95"/>
    <x v="569"/>
    <n v="162.13"/>
  </r>
  <r>
    <s v="ORD0571"/>
    <x v="232"/>
    <s v="Monitor"/>
    <x v="0"/>
    <x v="1"/>
    <s v="Online"/>
    <s v="Debit Card"/>
    <n v="1"/>
    <n v="11121.32"/>
    <x v="570"/>
    <n v="2846.43"/>
  </r>
  <r>
    <s v="ORD0572"/>
    <x v="221"/>
    <s v="Water Bottle"/>
    <x v="2"/>
    <x v="0"/>
    <s v="Online"/>
    <s v="Net Banking"/>
    <n v="1"/>
    <n v="328.23"/>
    <x v="571"/>
    <n v="64.209999999999994"/>
  </r>
  <r>
    <s v="ORD0573"/>
    <x v="129"/>
    <s v="Pen Pack"/>
    <x v="3"/>
    <x v="4"/>
    <s v="Online"/>
    <s v="Credit Card"/>
    <n v="2"/>
    <n v="124.51"/>
    <x v="572"/>
    <n v="74.17"/>
  </r>
  <r>
    <s v="ORD0574"/>
    <x v="264"/>
    <s v="Keyboard"/>
    <x v="0"/>
    <x v="3"/>
    <s v="In-Store"/>
    <s v="Net Banking"/>
    <n v="2"/>
    <n v="857.03"/>
    <x v="573"/>
    <n v="412.42"/>
  </r>
  <r>
    <s v="ORD0575"/>
    <x v="290"/>
    <s v="Keyboard"/>
    <x v="0"/>
    <x v="3"/>
    <s v="In-Store"/>
    <s v="Credit Card"/>
    <n v="1"/>
    <n v="846.66"/>
    <x v="574"/>
    <n v="200.2"/>
  </r>
  <r>
    <s v="ORD0576"/>
    <x v="246"/>
    <s v="Water Bottle"/>
    <x v="2"/>
    <x v="4"/>
    <s v="In-Store"/>
    <s v="Credit Card"/>
    <n v="2"/>
    <n v="332.76"/>
    <x v="575"/>
    <n v="199.84"/>
  </r>
  <r>
    <s v="ORD0577"/>
    <x v="19"/>
    <s v="Smartphone"/>
    <x v="0"/>
    <x v="1"/>
    <s v="Online"/>
    <s v="Credit Card"/>
    <n v="3"/>
    <n v="17807.740000000002"/>
    <x v="576"/>
    <n v="10587.36"/>
  </r>
  <r>
    <s v="ORD0578"/>
    <x v="142"/>
    <s v="Pen Pack"/>
    <x v="3"/>
    <x v="0"/>
    <s v="Online"/>
    <s v="Cash"/>
    <n v="3"/>
    <n v="127.22"/>
    <x v="577"/>
    <n v="84.1"/>
  </r>
  <r>
    <s v="ORD0579"/>
    <x v="154"/>
    <s v="Laptop"/>
    <x v="0"/>
    <x v="3"/>
    <s v="In-Store"/>
    <s v="UPI"/>
    <n v="3"/>
    <n v="44715.35"/>
    <x v="578"/>
    <n v="34524.65"/>
  </r>
  <r>
    <s v="ORD0580"/>
    <x v="229"/>
    <s v="Desk"/>
    <x v="1"/>
    <x v="2"/>
    <s v="In-Store"/>
    <s v="Net Banking"/>
    <n v="1"/>
    <n v="8244.07"/>
    <x v="579"/>
    <n v="3051.82"/>
  </r>
  <r>
    <s v="ORD0581"/>
    <x v="140"/>
    <s v="Water Bottle"/>
    <x v="2"/>
    <x v="1"/>
    <s v="In-Store"/>
    <s v="Cash"/>
    <n v="1"/>
    <n v="382.45"/>
    <x v="580"/>
    <n v="139.62"/>
  </r>
  <r>
    <s v="ORD0582"/>
    <x v="76"/>
    <s v="Office Chair"/>
    <x v="1"/>
    <x v="1"/>
    <s v="Online"/>
    <s v="Net Banking"/>
    <n v="3"/>
    <n v="7059.99"/>
    <x v="581"/>
    <n v="5195.03"/>
  </r>
  <r>
    <s v="ORD0583"/>
    <x v="227"/>
    <s v="Water Bottle"/>
    <x v="2"/>
    <x v="4"/>
    <s v="Online"/>
    <s v="UPI"/>
    <n v="2"/>
    <n v="358.06"/>
    <x v="582"/>
    <n v="146.63"/>
  </r>
  <r>
    <s v="ORD0584"/>
    <x v="106"/>
    <s v="Smartphone"/>
    <x v="0"/>
    <x v="2"/>
    <s v="In-Store"/>
    <s v="Net Banking"/>
    <n v="5"/>
    <n v="19006.82"/>
    <x v="583"/>
    <n v="27387.57"/>
  </r>
  <r>
    <s v="ORD0585"/>
    <x v="66"/>
    <s v="Water Bottle"/>
    <x v="2"/>
    <x v="3"/>
    <s v="In-Store"/>
    <s v="Net Banking"/>
    <n v="1"/>
    <n v="364.25"/>
    <x v="584"/>
    <n v="51.36"/>
  </r>
  <r>
    <s v="ORD0586"/>
    <x v="178"/>
    <s v="Notebook"/>
    <x v="3"/>
    <x v="1"/>
    <s v="In-Store"/>
    <s v="Cash"/>
    <n v="1"/>
    <n v="85.05"/>
    <x v="585"/>
    <n v="27.31"/>
  </r>
  <r>
    <s v="ORD0587"/>
    <x v="291"/>
    <s v="Laptop"/>
    <x v="0"/>
    <x v="0"/>
    <s v="In-Store"/>
    <s v="Debit Card"/>
    <n v="1"/>
    <n v="41219.93"/>
    <x v="586"/>
    <n v="14522.57"/>
  </r>
  <r>
    <s v="ORD0588"/>
    <x v="292"/>
    <s v="Water Bottle"/>
    <x v="2"/>
    <x v="3"/>
    <s v="In-Store"/>
    <s v="Cash"/>
    <n v="5"/>
    <n v="376.33"/>
    <x v="587"/>
    <n v="317.20999999999998"/>
  </r>
  <r>
    <s v="ORD0589"/>
    <x v="293"/>
    <s v="Monitor"/>
    <x v="0"/>
    <x v="2"/>
    <s v="In-Store"/>
    <s v="Net Banking"/>
    <n v="2"/>
    <n v="11383.86"/>
    <x v="588"/>
    <n v="6641.08"/>
  </r>
  <r>
    <s v="ORD0590"/>
    <x v="267"/>
    <s v="Backpack"/>
    <x v="2"/>
    <x v="1"/>
    <s v="Online"/>
    <s v="Debit Card"/>
    <n v="1"/>
    <n v="1096.21"/>
    <x v="589"/>
    <n v="235.96"/>
  </r>
  <r>
    <s v="ORD0591"/>
    <x v="180"/>
    <s v="Notebook"/>
    <x v="3"/>
    <x v="1"/>
    <s v="In-Store"/>
    <s v="UPI"/>
    <n v="2"/>
    <n v="72.16"/>
    <x v="590"/>
    <n v="23.62"/>
  </r>
  <r>
    <s v="ORD0592"/>
    <x v="294"/>
    <s v="Keyboard"/>
    <x v="0"/>
    <x v="1"/>
    <s v="In-Store"/>
    <s v="Debit Card"/>
    <n v="3"/>
    <n v="871.56"/>
    <x v="591"/>
    <n v="616.58000000000004"/>
  </r>
  <r>
    <s v="ORD0593"/>
    <x v="215"/>
    <s v="Office Chair"/>
    <x v="1"/>
    <x v="1"/>
    <s v="In-Store"/>
    <s v="Credit Card"/>
    <n v="4"/>
    <n v="6199.8"/>
    <x v="592"/>
    <n v="3316.88"/>
  </r>
  <r>
    <s v="ORD0594"/>
    <x v="263"/>
    <s v="Mouse"/>
    <x v="0"/>
    <x v="1"/>
    <s v="In-Store"/>
    <s v="Credit Card"/>
    <n v="1"/>
    <n v="476.54"/>
    <x v="593"/>
    <n v="152.69"/>
  </r>
  <r>
    <s v="ORD0595"/>
    <x v="56"/>
    <s v="Smartphone"/>
    <x v="0"/>
    <x v="3"/>
    <s v="Online"/>
    <s v="Net Banking"/>
    <n v="4"/>
    <n v="18632.919999999998"/>
    <x v="594"/>
    <n v="15466.05"/>
  </r>
  <r>
    <s v="ORD0596"/>
    <x v="70"/>
    <s v="Backpack"/>
    <x v="2"/>
    <x v="3"/>
    <s v="In-Store"/>
    <s v="Cash"/>
    <n v="1"/>
    <n v="1155.7"/>
    <x v="595"/>
    <n v="169.3"/>
  </r>
  <r>
    <s v="ORD0597"/>
    <x v="266"/>
    <s v="Water Bottle"/>
    <x v="2"/>
    <x v="0"/>
    <s v="In-Store"/>
    <s v="Cash"/>
    <n v="1"/>
    <n v="330.55"/>
    <x v="596"/>
    <n v="76.05"/>
  </r>
  <r>
    <s v="ORD0598"/>
    <x v="20"/>
    <s v="Laptop"/>
    <x v="0"/>
    <x v="1"/>
    <s v="In-Store"/>
    <s v="UPI"/>
    <n v="2"/>
    <n v="41107.22"/>
    <x v="597"/>
    <n v="16570.48"/>
  </r>
  <r>
    <s v="ORD0599"/>
    <x v="295"/>
    <s v="Water Bottle"/>
    <x v="2"/>
    <x v="1"/>
    <s v="In-Store"/>
    <s v="Net Banking"/>
    <n v="2"/>
    <n v="363.24"/>
    <x v="598"/>
    <n v="273.83"/>
  </r>
  <r>
    <s v="ORD0600"/>
    <x v="248"/>
    <s v="Notebook"/>
    <x v="3"/>
    <x v="4"/>
    <s v="Online"/>
    <s v="Debit Card"/>
    <n v="1"/>
    <n v="85.79"/>
    <x v="599"/>
    <n v="28.43"/>
  </r>
  <r>
    <s v="ORD0601"/>
    <x v="184"/>
    <s v="Monitor"/>
    <x v="0"/>
    <x v="2"/>
    <s v="In-Store"/>
    <s v="Debit Card"/>
    <n v="1"/>
    <n v="11241.39"/>
    <x v="600"/>
    <n v="3032.64"/>
  </r>
  <r>
    <s v="ORD0602"/>
    <x v="176"/>
    <s v="Desk"/>
    <x v="1"/>
    <x v="1"/>
    <s v="Online"/>
    <s v="Debit Card"/>
    <n v="2"/>
    <n v="9128.5400000000009"/>
    <x v="601"/>
    <n v="2289.2399999999998"/>
  </r>
  <r>
    <s v="ORD0603"/>
    <x v="263"/>
    <s v="Water Bottle"/>
    <x v="2"/>
    <x v="1"/>
    <s v="In-Store"/>
    <s v="UPI"/>
    <n v="2"/>
    <n v="341.66"/>
    <x v="602"/>
    <n v="233.75"/>
  </r>
  <r>
    <s v="ORD0604"/>
    <x v="72"/>
    <s v="Pen Pack"/>
    <x v="3"/>
    <x v="3"/>
    <s v="In-Store"/>
    <s v="Cash"/>
    <n v="2"/>
    <n v="131.88999999999999"/>
    <x v="603"/>
    <n v="41.98"/>
  </r>
  <r>
    <s v="ORD0605"/>
    <x v="37"/>
    <s v="Desk"/>
    <x v="1"/>
    <x v="1"/>
    <s v="Online"/>
    <s v="Credit Card"/>
    <n v="2"/>
    <n v="9122.1"/>
    <x v="604"/>
    <n v="5042.9799999999996"/>
  </r>
  <r>
    <s v="ORD0606"/>
    <x v="194"/>
    <s v="Backpack"/>
    <x v="2"/>
    <x v="4"/>
    <s v="In-Store"/>
    <s v="Debit Card"/>
    <n v="3"/>
    <n v="1103.1099999999999"/>
    <x v="605"/>
    <n v="616.88"/>
  </r>
  <r>
    <s v="ORD0607"/>
    <x v="133"/>
    <s v="Water Bottle"/>
    <x v="2"/>
    <x v="0"/>
    <s v="In-Store"/>
    <s v="Net Banking"/>
    <n v="4"/>
    <n v="333.04"/>
    <x v="606"/>
    <n v="499.35"/>
  </r>
  <r>
    <s v="ORD0608"/>
    <x v="54"/>
    <s v="Monitor"/>
    <x v="0"/>
    <x v="4"/>
    <s v="In-Store"/>
    <s v="Debit Card"/>
    <n v="2"/>
    <n v="12357.91"/>
    <x v="607"/>
    <n v="8270.41"/>
  </r>
  <r>
    <s v="ORD0609"/>
    <x v="284"/>
    <s v="Water Bottle"/>
    <x v="2"/>
    <x v="2"/>
    <s v="In-Store"/>
    <s v="Cash"/>
    <n v="2"/>
    <n v="366.56"/>
    <x v="608"/>
    <n v="109.01"/>
  </r>
  <r>
    <s v="ORD0610"/>
    <x v="103"/>
    <s v="Headphones"/>
    <x v="0"/>
    <x v="2"/>
    <s v="In-Store"/>
    <s v="UPI"/>
    <n v="4"/>
    <n v="1850.61"/>
    <x v="609"/>
    <n v="1025.78"/>
  </r>
  <r>
    <s v="ORD0611"/>
    <x v="105"/>
    <s v="Headphones"/>
    <x v="0"/>
    <x v="4"/>
    <s v="In-Store"/>
    <s v="Debit Card"/>
    <n v="1"/>
    <n v="1732.85"/>
    <x v="610"/>
    <n v="364.27"/>
  </r>
  <r>
    <s v="ORD0612"/>
    <x v="104"/>
    <s v="Notebook"/>
    <x v="3"/>
    <x v="1"/>
    <s v="Online"/>
    <s v="UPI"/>
    <n v="3"/>
    <n v="80.33"/>
    <x v="611"/>
    <n v="63.36"/>
  </r>
  <r>
    <s v="ORD0613"/>
    <x v="100"/>
    <s v="Mouse"/>
    <x v="0"/>
    <x v="0"/>
    <s v="Online"/>
    <s v="Credit Card"/>
    <n v="1"/>
    <n v="475.16"/>
    <x v="612"/>
    <n v="88.66"/>
  </r>
  <r>
    <s v="ORD0614"/>
    <x v="117"/>
    <s v="Smartphone"/>
    <x v="0"/>
    <x v="0"/>
    <s v="Online"/>
    <s v="Cash"/>
    <n v="1"/>
    <n v="19572.46"/>
    <x v="613"/>
    <n v="5029.57"/>
  </r>
  <r>
    <s v="ORD0615"/>
    <x v="296"/>
    <s v="Smartphone"/>
    <x v="0"/>
    <x v="2"/>
    <s v="In-Store"/>
    <s v="Credit Card"/>
    <n v="1"/>
    <n v="18425.169999999998"/>
    <x v="614"/>
    <n v="6597.67"/>
  </r>
  <r>
    <s v="ORD0616"/>
    <x v="171"/>
    <s v="Mouse"/>
    <x v="0"/>
    <x v="1"/>
    <s v="Online"/>
    <s v="UPI"/>
    <n v="1"/>
    <n v="512.65"/>
    <x v="615"/>
    <n v="177.31"/>
  </r>
  <r>
    <s v="ORD0617"/>
    <x v="269"/>
    <s v="Notebook"/>
    <x v="3"/>
    <x v="3"/>
    <s v="In-Store"/>
    <s v="Net Banking"/>
    <n v="4"/>
    <n v="77.2"/>
    <x v="616"/>
    <n v="79.11"/>
  </r>
  <r>
    <s v="ORD0618"/>
    <x v="104"/>
    <s v="Headphones"/>
    <x v="0"/>
    <x v="3"/>
    <s v="In-Store"/>
    <s v="Net Banking"/>
    <n v="5"/>
    <n v="1871.14"/>
    <x v="617"/>
    <n v="3124.53"/>
  </r>
  <r>
    <s v="ORD0619"/>
    <x v="297"/>
    <s v="Water Bottle"/>
    <x v="2"/>
    <x v="2"/>
    <s v="Online"/>
    <s v="UPI"/>
    <n v="2"/>
    <n v="352.36"/>
    <x v="618"/>
    <n v="101.25"/>
  </r>
  <r>
    <s v="ORD0620"/>
    <x v="26"/>
    <s v="Desk"/>
    <x v="1"/>
    <x v="0"/>
    <s v="Online"/>
    <s v="Debit Card"/>
    <n v="1"/>
    <n v="8567.65"/>
    <x v="619"/>
    <n v="2579.4699999999998"/>
  </r>
  <r>
    <s v="ORD0621"/>
    <x v="235"/>
    <s v="Backpack"/>
    <x v="2"/>
    <x v="2"/>
    <s v="In-Store"/>
    <s v="UPI"/>
    <n v="2"/>
    <n v="1245.06"/>
    <x v="620"/>
    <n v="627.75"/>
  </r>
  <r>
    <s v="ORD0622"/>
    <x v="131"/>
    <s v="Desk"/>
    <x v="1"/>
    <x v="1"/>
    <s v="In-Store"/>
    <s v="Net Banking"/>
    <n v="2"/>
    <n v="9534.18"/>
    <x v="621"/>
    <n v="4528.0600000000004"/>
  </r>
  <r>
    <s v="ORD0623"/>
    <x v="73"/>
    <s v="Pen Pack"/>
    <x v="3"/>
    <x v="2"/>
    <s v="Online"/>
    <s v="Debit Card"/>
    <n v="1"/>
    <n v="125.16"/>
    <x v="622"/>
    <n v="26.54"/>
  </r>
  <r>
    <s v="ORD0624"/>
    <x v="105"/>
    <s v="Pen Pack"/>
    <x v="3"/>
    <x v="3"/>
    <s v="In-Store"/>
    <s v="Debit Card"/>
    <n v="2"/>
    <n v="120.4"/>
    <x v="623"/>
    <n v="41.42"/>
  </r>
  <r>
    <s v="ORD0625"/>
    <x v="150"/>
    <s v="Mouse"/>
    <x v="0"/>
    <x v="0"/>
    <s v="Online"/>
    <s v="Credit Card"/>
    <n v="2"/>
    <n v="476.88"/>
    <x v="624"/>
    <n v="315.81"/>
  </r>
  <r>
    <s v="ORD0626"/>
    <x v="198"/>
    <s v="Smartphone"/>
    <x v="0"/>
    <x v="3"/>
    <s v="In-Store"/>
    <s v="Credit Card"/>
    <n v="2"/>
    <n v="18423.830000000002"/>
    <x v="625"/>
    <n v="11394.96"/>
  </r>
  <r>
    <s v="ORD0627"/>
    <x v="92"/>
    <s v="Laptop"/>
    <x v="0"/>
    <x v="0"/>
    <s v="In-Store"/>
    <s v="Debit Card"/>
    <n v="1"/>
    <n v="45945.62"/>
    <x v="626"/>
    <n v="17194.96"/>
  </r>
  <r>
    <s v="ORD0628"/>
    <x v="100"/>
    <s v="Mouse"/>
    <x v="0"/>
    <x v="0"/>
    <s v="In-Store"/>
    <s v="Credit Card"/>
    <n v="2"/>
    <n v="450.82"/>
    <x v="627"/>
    <n v="321.48"/>
  </r>
  <r>
    <s v="ORD0629"/>
    <x v="138"/>
    <s v="Pen Pack"/>
    <x v="3"/>
    <x v="2"/>
    <s v="Online"/>
    <s v="Debit Card"/>
    <n v="1"/>
    <n v="127.19"/>
    <x v="628"/>
    <n v="15.33"/>
  </r>
  <r>
    <s v="ORD0630"/>
    <x v="190"/>
    <s v="Headphones"/>
    <x v="0"/>
    <x v="2"/>
    <s v="Online"/>
    <s v="Credit Card"/>
    <n v="1"/>
    <n v="1899.24"/>
    <x v="629"/>
    <n v="686.46"/>
  </r>
  <r>
    <s v="ORD0631"/>
    <x v="166"/>
    <s v="Pen Pack"/>
    <x v="3"/>
    <x v="1"/>
    <s v="In-Store"/>
    <s v="Cash"/>
    <n v="3"/>
    <n v="110.93"/>
    <x v="630"/>
    <n v="60"/>
  </r>
  <r>
    <s v="ORD0632"/>
    <x v="171"/>
    <s v="Mouse"/>
    <x v="0"/>
    <x v="0"/>
    <s v="Online"/>
    <s v="Cash"/>
    <n v="5"/>
    <n v="469.92"/>
    <x v="631"/>
    <n v="443.64"/>
  </r>
  <r>
    <s v="ORD0633"/>
    <x v="275"/>
    <s v="Keyboard"/>
    <x v="0"/>
    <x v="0"/>
    <s v="Online"/>
    <s v="Debit Card"/>
    <n v="5"/>
    <n v="978.52"/>
    <x v="632"/>
    <n v="1657.42"/>
  </r>
  <r>
    <s v="ORD0634"/>
    <x v="289"/>
    <s v="Keyboard"/>
    <x v="0"/>
    <x v="1"/>
    <s v="Online"/>
    <s v="Credit Card"/>
    <n v="1"/>
    <n v="874.88"/>
    <x v="633"/>
    <n v="320.61"/>
  </r>
  <r>
    <s v="ORD0635"/>
    <x v="212"/>
    <s v="Pen Pack"/>
    <x v="3"/>
    <x v="0"/>
    <s v="In-Store"/>
    <s v="Credit Card"/>
    <n v="1"/>
    <n v="112.02"/>
    <x v="634"/>
    <n v="34.53"/>
  </r>
  <r>
    <s v="ORD0636"/>
    <x v="175"/>
    <s v="Laptop"/>
    <x v="0"/>
    <x v="1"/>
    <s v="In-Store"/>
    <s v="UPI"/>
    <n v="2"/>
    <n v="43602.31"/>
    <x v="635"/>
    <n v="17529.38"/>
  </r>
  <r>
    <s v="ORD0637"/>
    <x v="57"/>
    <s v="Headphones"/>
    <x v="0"/>
    <x v="0"/>
    <s v="Online"/>
    <s v="Debit Card"/>
    <n v="2"/>
    <n v="1866.94"/>
    <x v="636"/>
    <n v="1090.33"/>
  </r>
  <r>
    <s v="ORD0638"/>
    <x v="77"/>
    <s v="Headphones"/>
    <x v="0"/>
    <x v="1"/>
    <s v="In-Store"/>
    <s v="Net Banking"/>
    <n v="3"/>
    <n v="1904.93"/>
    <x v="637"/>
    <n v="1984.66"/>
  </r>
  <r>
    <s v="ORD0639"/>
    <x v="77"/>
    <s v="Notebook"/>
    <x v="3"/>
    <x v="2"/>
    <s v="In-Store"/>
    <s v="Credit Card"/>
    <n v="3"/>
    <n v="79.02"/>
    <x v="638"/>
    <n v="78.19"/>
  </r>
  <r>
    <s v="ORD0640"/>
    <x v="166"/>
    <s v="Laptop"/>
    <x v="0"/>
    <x v="2"/>
    <s v="Online"/>
    <s v="Net Banking"/>
    <n v="2"/>
    <n v="41475"/>
    <x v="639"/>
    <n v="25164.89"/>
  </r>
  <r>
    <s v="ORD0641"/>
    <x v="160"/>
    <s v="Water Bottle"/>
    <x v="2"/>
    <x v="3"/>
    <s v="Online"/>
    <s v="UPI"/>
    <n v="1"/>
    <n v="366.27"/>
    <x v="640"/>
    <n v="112.96"/>
  </r>
  <r>
    <s v="ORD0642"/>
    <x v="130"/>
    <s v="Headphones"/>
    <x v="0"/>
    <x v="2"/>
    <s v="Online"/>
    <s v="Net Banking"/>
    <n v="2"/>
    <n v="1914.99"/>
    <x v="641"/>
    <n v="916.06"/>
  </r>
  <r>
    <s v="ORD0643"/>
    <x v="63"/>
    <s v="Mouse"/>
    <x v="0"/>
    <x v="3"/>
    <s v="Online"/>
    <s v="Debit Card"/>
    <n v="1"/>
    <n v="451.87"/>
    <x v="642"/>
    <n v="71.040000000000006"/>
  </r>
  <r>
    <s v="ORD0644"/>
    <x v="229"/>
    <s v="Keyboard"/>
    <x v="0"/>
    <x v="2"/>
    <s v="Online"/>
    <s v="Net Banking"/>
    <n v="5"/>
    <n v="957.43"/>
    <x v="643"/>
    <n v="1582.79"/>
  </r>
  <r>
    <s v="ORD0645"/>
    <x v="38"/>
    <s v="Notebook"/>
    <x v="3"/>
    <x v="0"/>
    <s v="Online"/>
    <s v="Credit Card"/>
    <n v="1"/>
    <n v="77.150000000000006"/>
    <x v="644"/>
    <n v="27.39"/>
  </r>
  <r>
    <s v="ORD0646"/>
    <x v="15"/>
    <s v="Laptop"/>
    <x v="0"/>
    <x v="3"/>
    <s v="In-Store"/>
    <s v="Cash"/>
    <n v="1"/>
    <n v="41877.11"/>
    <x v="645"/>
    <n v="14838.07"/>
  </r>
  <r>
    <s v="ORD0647"/>
    <x v="153"/>
    <s v="Monitor"/>
    <x v="0"/>
    <x v="3"/>
    <s v="Online"/>
    <s v="UPI"/>
    <n v="3"/>
    <n v="11414.25"/>
    <x v="646"/>
    <n v="9750.5499999999993"/>
  </r>
  <r>
    <s v="ORD0648"/>
    <x v="202"/>
    <s v="Keyboard"/>
    <x v="0"/>
    <x v="0"/>
    <s v="In-Store"/>
    <s v="Net Banking"/>
    <n v="2"/>
    <n v="970.16"/>
    <x v="647"/>
    <n v="696.98"/>
  </r>
  <r>
    <s v="ORD0649"/>
    <x v="226"/>
    <s v="Notebook"/>
    <x v="3"/>
    <x v="3"/>
    <s v="Online"/>
    <s v="UPI"/>
    <n v="3"/>
    <n v="72.930000000000007"/>
    <x v="648"/>
    <n v="48.05"/>
  </r>
  <r>
    <s v="ORD0650"/>
    <x v="298"/>
    <s v="Smartphone"/>
    <x v="0"/>
    <x v="1"/>
    <s v="In-Store"/>
    <s v="Credit Card"/>
    <n v="4"/>
    <n v="19658.11"/>
    <x v="649"/>
    <n v="27894.78"/>
  </r>
  <r>
    <s v="ORD0651"/>
    <x v="25"/>
    <s v="Water Bottle"/>
    <x v="2"/>
    <x v="3"/>
    <s v="In-Store"/>
    <s v="UPI"/>
    <n v="2"/>
    <n v="354.9"/>
    <x v="650"/>
    <n v="94.86"/>
  </r>
  <r>
    <s v="ORD0652"/>
    <x v="299"/>
    <s v="Monitor"/>
    <x v="0"/>
    <x v="0"/>
    <s v="Online"/>
    <s v="Credit Card"/>
    <n v="1"/>
    <n v="11900.93"/>
    <x v="651"/>
    <n v="2463.9299999999998"/>
  </r>
  <r>
    <s v="ORD0653"/>
    <x v="93"/>
    <s v="Pen Pack"/>
    <x v="3"/>
    <x v="3"/>
    <s v="In-Store"/>
    <s v="Debit Card"/>
    <n v="2"/>
    <n v="123.78"/>
    <x v="652"/>
    <n v="59.71"/>
  </r>
  <r>
    <s v="ORD0654"/>
    <x v="300"/>
    <s v="Water Bottle"/>
    <x v="2"/>
    <x v="2"/>
    <s v="In-Store"/>
    <s v="Net Banking"/>
    <n v="5"/>
    <n v="337.73"/>
    <x v="653"/>
    <n v="478.48"/>
  </r>
  <r>
    <s v="ORD0655"/>
    <x v="18"/>
    <s v="Monitor"/>
    <x v="0"/>
    <x v="4"/>
    <s v="In-Store"/>
    <s v="Cash"/>
    <n v="2"/>
    <n v="11700.15"/>
    <x v="654"/>
    <n v="5544.42"/>
  </r>
  <r>
    <s v="ORD0656"/>
    <x v="151"/>
    <s v="Pen Pack"/>
    <x v="3"/>
    <x v="0"/>
    <s v="Online"/>
    <s v="Debit Card"/>
    <n v="1"/>
    <n v="108.83"/>
    <x v="655"/>
    <n v="33.31"/>
  </r>
  <r>
    <s v="ORD0657"/>
    <x v="129"/>
    <s v="Desk"/>
    <x v="1"/>
    <x v="4"/>
    <s v="Online"/>
    <s v="UPI"/>
    <n v="5"/>
    <n v="8486.68"/>
    <x v="656"/>
    <n v="12650.45"/>
  </r>
  <r>
    <s v="ORD0658"/>
    <x v="301"/>
    <s v="Backpack"/>
    <x v="2"/>
    <x v="3"/>
    <s v="Online"/>
    <s v="Credit Card"/>
    <n v="1"/>
    <n v="1113.22"/>
    <x v="657"/>
    <n v="316.77999999999997"/>
  </r>
  <r>
    <s v="ORD0659"/>
    <x v="111"/>
    <s v="Desk"/>
    <x v="1"/>
    <x v="0"/>
    <s v="In-Store"/>
    <s v="Cash"/>
    <n v="1"/>
    <n v="8819.64"/>
    <x v="658"/>
    <n v="1246.6600000000001"/>
  </r>
  <r>
    <s v="ORD0660"/>
    <x v="161"/>
    <s v="Backpack"/>
    <x v="2"/>
    <x v="0"/>
    <s v="In-Store"/>
    <s v="UPI"/>
    <n v="3"/>
    <n v="1245.5"/>
    <x v="659"/>
    <n v="860.07"/>
  </r>
  <r>
    <s v="ORD0661"/>
    <x v="90"/>
    <s v="Pen Pack"/>
    <x v="3"/>
    <x v="4"/>
    <s v="In-Store"/>
    <s v="Cash"/>
    <n v="1"/>
    <n v="109.34"/>
    <x v="660"/>
    <n v="19.63"/>
  </r>
  <r>
    <s v="ORD0662"/>
    <x v="302"/>
    <s v="Office Chair"/>
    <x v="1"/>
    <x v="2"/>
    <s v="Online"/>
    <s v="Debit Card"/>
    <n v="3"/>
    <n v="6954.32"/>
    <x v="661"/>
    <n v="2890.57"/>
  </r>
  <r>
    <s v="ORD0663"/>
    <x v="296"/>
    <s v="Laptop"/>
    <x v="0"/>
    <x v="1"/>
    <s v="Online"/>
    <s v="UPI"/>
    <n v="1"/>
    <n v="42545.27"/>
    <x v="662"/>
    <n v="12551.87"/>
  </r>
  <r>
    <s v="ORD0664"/>
    <x v="284"/>
    <s v="Mouse"/>
    <x v="0"/>
    <x v="3"/>
    <s v="Online"/>
    <s v="Credit Card"/>
    <n v="5"/>
    <n v="547.1"/>
    <x v="663"/>
    <n v="504.05"/>
  </r>
  <r>
    <s v="ORD0665"/>
    <x v="165"/>
    <s v="Desk"/>
    <x v="1"/>
    <x v="2"/>
    <s v="Online"/>
    <s v="Net Banking"/>
    <n v="3"/>
    <n v="8366.42"/>
    <x v="664"/>
    <n v="7343.95"/>
  </r>
  <r>
    <s v="ORD0666"/>
    <x v="294"/>
    <s v="Desk"/>
    <x v="1"/>
    <x v="1"/>
    <s v="Online"/>
    <s v="Cash"/>
    <n v="1"/>
    <n v="9003.2800000000007"/>
    <x v="665"/>
    <n v="1609.84"/>
  </r>
  <r>
    <s v="ORD0667"/>
    <x v="133"/>
    <s v="Office Chair"/>
    <x v="1"/>
    <x v="3"/>
    <s v="Online"/>
    <s v="Credit Card"/>
    <n v="2"/>
    <n v="6697.92"/>
    <x v="666"/>
    <n v="4407.42"/>
  </r>
  <r>
    <s v="ORD0668"/>
    <x v="303"/>
    <s v="Desk"/>
    <x v="1"/>
    <x v="0"/>
    <s v="Online"/>
    <s v="Cash"/>
    <n v="3"/>
    <n v="8682.14"/>
    <x v="667"/>
    <n v="3639.31"/>
  </r>
  <r>
    <s v="ORD0669"/>
    <x v="1"/>
    <s v="Notebook"/>
    <x v="3"/>
    <x v="0"/>
    <s v="In-Store"/>
    <s v="Credit Card"/>
    <n v="1"/>
    <n v="77.13"/>
    <x v="668"/>
    <n v="17.399999999999999"/>
  </r>
  <r>
    <s v="ORD0670"/>
    <x v="47"/>
    <s v="Monitor"/>
    <x v="0"/>
    <x v="2"/>
    <s v="Online"/>
    <s v="Credit Card"/>
    <n v="3"/>
    <n v="12726.71"/>
    <x v="669"/>
    <n v="8322.2199999999993"/>
  </r>
  <r>
    <s v="ORD0671"/>
    <x v="66"/>
    <s v="Keyboard"/>
    <x v="0"/>
    <x v="0"/>
    <s v="Online"/>
    <s v="Credit Card"/>
    <n v="1"/>
    <n v="946.39"/>
    <x v="670"/>
    <n v="149.80000000000001"/>
  </r>
  <r>
    <s v="ORD0672"/>
    <x v="83"/>
    <s v="Headphones"/>
    <x v="0"/>
    <x v="0"/>
    <s v="In-Store"/>
    <s v="Cash"/>
    <n v="4"/>
    <n v="1915.25"/>
    <x v="671"/>
    <n v="2883.83"/>
  </r>
  <r>
    <s v="ORD0673"/>
    <x v="184"/>
    <s v="Laptop"/>
    <x v="0"/>
    <x v="3"/>
    <s v="In-Store"/>
    <s v="Net Banking"/>
    <n v="1"/>
    <n v="44016.11"/>
    <x v="672"/>
    <n v="14301.38"/>
  </r>
  <r>
    <s v="ORD0674"/>
    <x v="169"/>
    <s v="Monitor"/>
    <x v="0"/>
    <x v="0"/>
    <s v="In-Store"/>
    <s v="Net Banking"/>
    <n v="3"/>
    <n v="11139.23"/>
    <x v="673"/>
    <n v="6627.52"/>
  </r>
  <r>
    <s v="ORD0675"/>
    <x v="269"/>
    <s v="Water Bottle"/>
    <x v="2"/>
    <x v="3"/>
    <s v="In-Store"/>
    <s v="UPI"/>
    <n v="1"/>
    <n v="326.92"/>
    <x v="674"/>
    <n v="100.09"/>
  </r>
  <r>
    <s v="ORD0676"/>
    <x v="189"/>
    <s v="Keyboard"/>
    <x v="0"/>
    <x v="4"/>
    <s v="Online"/>
    <s v="UPI"/>
    <n v="4"/>
    <n v="821.99"/>
    <x v="675"/>
    <n v="684.89"/>
  </r>
  <r>
    <s v="ORD0677"/>
    <x v="240"/>
    <s v="Keyboard"/>
    <x v="0"/>
    <x v="0"/>
    <s v="In-Store"/>
    <s v="Cash"/>
    <n v="1"/>
    <n v="986.36"/>
    <x v="676"/>
    <n v="244.4"/>
  </r>
  <r>
    <s v="ORD0678"/>
    <x v="120"/>
    <s v="Water Bottle"/>
    <x v="2"/>
    <x v="3"/>
    <s v="Online"/>
    <s v="UPI"/>
    <n v="1"/>
    <n v="328.92"/>
    <x v="677"/>
    <n v="42.31"/>
  </r>
  <r>
    <s v="ORD0679"/>
    <x v="171"/>
    <s v="Water Bottle"/>
    <x v="2"/>
    <x v="0"/>
    <s v="In-Store"/>
    <s v="Debit Card"/>
    <n v="1"/>
    <n v="349.3"/>
    <x v="678"/>
    <n v="65.13"/>
  </r>
  <r>
    <s v="ORD0680"/>
    <x v="215"/>
    <s v="Keyboard"/>
    <x v="0"/>
    <x v="4"/>
    <s v="Online"/>
    <s v="Debit Card"/>
    <n v="1"/>
    <n v="989.28"/>
    <x v="679"/>
    <n v="124.22"/>
  </r>
  <r>
    <s v="ORD0681"/>
    <x v="225"/>
    <s v="Laptop"/>
    <x v="0"/>
    <x v="4"/>
    <s v="In-Store"/>
    <s v="Credit Card"/>
    <n v="4"/>
    <n v="45772.58"/>
    <x v="680"/>
    <n v="58835.8"/>
  </r>
  <r>
    <s v="ORD0682"/>
    <x v="214"/>
    <s v="Mouse"/>
    <x v="0"/>
    <x v="1"/>
    <s v="In-Store"/>
    <s v="Credit Card"/>
    <n v="1"/>
    <n v="546.05999999999995"/>
    <x v="681"/>
    <n v="120.55"/>
  </r>
  <r>
    <s v="ORD0683"/>
    <x v="80"/>
    <s v="Headphones"/>
    <x v="0"/>
    <x v="2"/>
    <s v="Online"/>
    <s v="Credit Card"/>
    <n v="2"/>
    <n v="1732.46"/>
    <x v="682"/>
    <n v="771.31"/>
  </r>
  <r>
    <s v="ORD0684"/>
    <x v="288"/>
    <s v="Headphones"/>
    <x v="0"/>
    <x v="1"/>
    <s v="In-Store"/>
    <s v="Net Banking"/>
    <n v="2"/>
    <n v="1866.26"/>
    <x v="683"/>
    <n v="1222.02"/>
  </r>
  <r>
    <s v="ORD0685"/>
    <x v="65"/>
    <s v="Pen Pack"/>
    <x v="3"/>
    <x v="3"/>
    <s v="Online"/>
    <s v="Debit Card"/>
    <n v="5"/>
    <n v="131.41999999999999"/>
    <x v="684"/>
    <n v="224.9"/>
  </r>
  <r>
    <s v="ORD0686"/>
    <x v="304"/>
    <s v="Water Bottle"/>
    <x v="2"/>
    <x v="1"/>
    <s v="Online"/>
    <s v="Debit Card"/>
    <n v="2"/>
    <n v="365.36"/>
    <x v="685"/>
    <n v="242.69"/>
  </r>
  <r>
    <s v="ORD0687"/>
    <x v="180"/>
    <s v="Pen Pack"/>
    <x v="3"/>
    <x v="4"/>
    <s v="Online"/>
    <s v="Credit Card"/>
    <n v="1"/>
    <n v="125.89"/>
    <x v="686"/>
    <n v="20.94"/>
  </r>
  <r>
    <s v="ORD0688"/>
    <x v="56"/>
    <s v="Headphones"/>
    <x v="0"/>
    <x v="4"/>
    <s v="Online"/>
    <s v="Net Banking"/>
    <n v="1"/>
    <n v="1894.48"/>
    <x v="687"/>
    <n v="418.46"/>
  </r>
  <r>
    <s v="ORD0689"/>
    <x v="186"/>
    <s v="Office Chair"/>
    <x v="1"/>
    <x v="2"/>
    <s v="Online"/>
    <s v="Net Banking"/>
    <n v="2"/>
    <n v="6317.04"/>
    <x v="688"/>
    <n v="2540.5"/>
  </r>
  <r>
    <s v="ORD0690"/>
    <x v="146"/>
    <s v="Backpack"/>
    <x v="2"/>
    <x v="2"/>
    <s v="In-Store"/>
    <s v="Credit Card"/>
    <n v="3"/>
    <n v="1169.75"/>
    <x v="689"/>
    <n v="556.03"/>
  </r>
  <r>
    <s v="ORD0691"/>
    <x v="250"/>
    <s v="Office Chair"/>
    <x v="1"/>
    <x v="4"/>
    <s v="In-Store"/>
    <s v="Credit Card"/>
    <n v="1"/>
    <n v="6381.17"/>
    <x v="690"/>
    <n v="817.48"/>
  </r>
  <r>
    <s v="ORD0692"/>
    <x v="158"/>
    <s v="Office Chair"/>
    <x v="1"/>
    <x v="2"/>
    <s v="In-Store"/>
    <s v="Debit Card"/>
    <n v="3"/>
    <n v="5935.98"/>
    <x v="691"/>
    <n v="2474.4699999999998"/>
  </r>
  <r>
    <s v="ORD0693"/>
    <x v="271"/>
    <s v="Office Chair"/>
    <x v="1"/>
    <x v="2"/>
    <s v="In-Store"/>
    <s v="Cash"/>
    <n v="2"/>
    <n v="6859.08"/>
    <x v="692"/>
    <n v="3044.58"/>
  </r>
  <r>
    <s v="ORD0694"/>
    <x v="58"/>
    <s v="Mouse"/>
    <x v="0"/>
    <x v="0"/>
    <s v="Online"/>
    <s v="Cash"/>
    <n v="2"/>
    <n v="503.62"/>
    <x v="693"/>
    <n v="214.78"/>
  </r>
  <r>
    <s v="ORD0695"/>
    <x v="101"/>
    <s v="Laptop"/>
    <x v="0"/>
    <x v="0"/>
    <s v="In-Store"/>
    <s v="Net Banking"/>
    <n v="4"/>
    <n v="39864.06"/>
    <x v="694"/>
    <n v="38294.06"/>
  </r>
  <r>
    <s v="ORD0696"/>
    <x v="55"/>
    <s v="Laptop"/>
    <x v="0"/>
    <x v="4"/>
    <s v="In-Store"/>
    <s v="Credit Card"/>
    <n v="1"/>
    <n v="41492.25"/>
    <x v="695"/>
    <n v="6226.19"/>
  </r>
  <r>
    <s v="ORD0697"/>
    <x v="1"/>
    <s v="Desk"/>
    <x v="1"/>
    <x v="1"/>
    <s v="In-Store"/>
    <s v="Cash"/>
    <n v="2"/>
    <n v="8198.18"/>
    <x v="696"/>
    <n v="4026.75"/>
  </r>
  <r>
    <s v="ORD0698"/>
    <x v="148"/>
    <s v="Mouse"/>
    <x v="0"/>
    <x v="3"/>
    <s v="Online"/>
    <s v="Cash"/>
    <n v="2"/>
    <n v="467.98"/>
    <x v="697"/>
    <n v="213.2"/>
  </r>
  <r>
    <s v="ORD0699"/>
    <x v="180"/>
    <s v="Notebook"/>
    <x v="3"/>
    <x v="1"/>
    <s v="In-Store"/>
    <s v="UPI"/>
    <n v="2"/>
    <n v="74.86"/>
    <x v="698"/>
    <n v="33.909999999999997"/>
  </r>
  <r>
    <s v="ORD0700"/>
    <x v="166"/>
    <s v="Notebook"/>
    <x v="3"/>
    <x v="0"/>
    <s v="Online"/>
    <s v="UPI"/>
    <n v="2"/>
    <n v="86.51"/>
    <x v="699"/>
    <n v="29.92"/>
  </r>
  <r>
    <s v="ORD0701"/>
    <x v="96"/>
    <s v="Backpack"/>
    <x v="2"/>
    <x v="3"/>
    <s v="Online"/>
    <s v="Cash"/>
    <n v="2"/>
    <n v="1100.47"/>
    <x v="700"/>
    <n v="431.62"/>
  </r>
  <r>
    <s v="ORD0702"/>
    <x v="93"/>
    <s v="Pen Pack"/>
    <x v="3"/>
    <x v="1"/>
    <s v="Online"/>
    <s v="Credit Card"/>
    <n v="1"/>
    <n v="112.1"/>
    <x v="701"/>
    <n v="32.83"/>
  </r>
  <r>
    <s v="ORD0703"/>
    <x v="15"/>
    <s v="Mouse"/>
    <x v="0"/>
    <x v="2"/>
    <s v="In-Store"/>
    <s v="Credit Card"/>
    <n v="1"/>
    <n v="480.81"/>
    <x v="702"/>
    <n v="91.43"/>
  </r>
  <r>
    <s v="ORD0704"/>
    <x v="196"/>
    <s v="Headphones"/>
    <x v="0"/>
    <x v="0"/>
    <s v="In-Store"/>
    <s v="Cash"/>
    <n v="5"/>
    <n v="1621.27"/>
    <x v="703"/>
    <n v="1467.23"/>
  </r>
  <r>
    <s v="ORD0705"/>
    <x v="209"/>
    <s v="Water Bottle"/>
    <x v="2"/>
    <x v="1"/>
    <s v="In-Store"/>
    <s v="Cash"/>
    <n v="3"/>
    <n v="357.56"/>
    <x v="704"/>
    <n v="269.99"/>
  </r>
  <r>
    <s v="ORD0706"/>
    <x v="305"/>
    <s v="Backpack"/>
    <x v="2"/>
    <x v="3"/>
    <s v="In-Store"/>
    <s v="Net Banking"/>
    <n v="1"/>
    <n v="1224.02"/>
    <x v="705"/>
    <n v="387.25"/>
  </r>
  <r>
    <s v="ORD0707"/>
    <x v="306"/>
    <s v="Water Bottle"/>
    <x v="2"/>
    <x v="0"/>
    <s v="In-Store"/>
    <s v="UPI"/>
    <n v="3"/>
    <n v="329.53"/>
    <x v="706"/>
    <n v="328.15"/>
  </r>
  <r>
    <s v="ORD0708"/>
    <x v="307"/>
    <s v="Laptop"/>
    <x v="0"/>
    <x v="0"/>
    <s v="Online"/>
    <s v="UPI"/>
    <n v="2"/>
    <n v="44839.32"/>
    <x v="707"/>
    <n v="27119.29"/>
  </r>
  <r>
    <s v="ORD0709"/>
    <x v="167"/>
    <s v="Headphones"/>
    <x v="0"/>
    <x v="3"/>
    <s v="Online"/>
    <s v="Cash"/>
    <n v="1"/>
    <n v="1722.38"/>
    <x v="708"/>
    <n v="358.53"/>
  </r>
  <r>
    <s v="ORD0710"/>
    <x v="308"/>
    <s v="Notebook"/>
    <x v="3"/>
    <x v="4"/>
    <s v="In-Store"/>
    <s v="UPI"/>
    <n v="4"/>
    <n v="73.489999999999995"/>
    <x v="709"/>
    <n v="88.83"/>
  </r>
  <r>
    <s v="ORD0711"/>
    <x v="264"/>
    <s v="Water Bottle"/>
    <x v="2"/>
    <x v="4"/>
    <s v="In-Store"/>
    <s v="Net Banking"/>
    <n v="1"/>
    <n v="347.96"/>
    <x v="710"/>
    <n v="121.19"/>
  </r>
  <r>
    <s v="ORD0712"/>
    <x v="180"/>
    <s v="Water Bottle"/>
    <x v="2"/>
    <x v="3"/>
    <s v="Online"/>
    <s v="Cash"/>
    <n v="1"/>
    <n v="329.63"/>
    <x v="711"/>
    <n v="120.27"/>
  </r>
  <r>
    <s v="ORD0713"/>
    <x v="85"/>
    <s v="Monitor"/>
    <x v="0"/>
    <x v="3"/>
    <s v="In-Store"/>
    <s v="Debit Card"/>
    <n v="4"/>
    <n v="13167.07"/>
    <x v="712"/>
    <n v="16081.27"/>
  </r>
  <r>
    <s v="ORD0714"/>
    <x v="153"/>
    <s v="Monitor"/>
    <x v="0"/>
    <x v="3"/>
    <s v="In-Store"/>
    <s v="Net Banking"/>
    <n v="5"/>
    <n v="11649.25"/>
    <x v="713"/>
    <n v="20169.2"/>
  </r>
  <r>
    <s v="ORD0715"/>
    <x v="103"/>
    <s v="Backpack"/>
    <x v="2"/>
    <x v="4"/>
    <s v="Online"/>
    <s v="UPI"/>
    <n v="2"/>
    <n v="1123.18"/>
    <x v="714"/>
    <n v="497.69"/>
  </r>
  <r>
    <s v="ORD0716"/>
    <x v="196"/>
    <s v="Laptop"/>
    <x v="0"/>
    <x v="1"/>
    <s v="In-Store"/>
    <s v="Cash"/>
    <n v="2"/>
    <n v="44492.55"/>
    <x v="715"/>
    <n v="16752.18"/>
  </r>
  <r>
    <s v="ORD0717"/>
    <x v="6"/>
    <s v="Notebook"/>
    <x v="3"/>
    <x v="1"/>
    <s v="In-Store"/>
    <s v="Debit Card"/>
    <n v="1"/>
    <n v="84.9"/>
    <x v="716"/>
    <n v="27.57"/>
  </r>
  <r>
    <s v="ORD0718"/>
    <x v="304"/>
    <s v="Desk"/>
    <x v="1"/>
    <x v="0"/>
    <s v="In-Store"/>
    <s v="Debit Card"/>
    <n v="1"/>
    <n v="9089.99"/>
    <x v="717"/>
    <n v="1641.39"/>
  </r>
  <r>
    <s v="ORD0719"/>
    <x v="10"/>
    <s v="Mouse"/>
    <x v="0"/>
    <x v="1"/>
    <s v="In-Store"/>
    <s v="Debit Card"/>
    <n v="2"/>
    <n v="546.01"/>
    <x v="718"/>
    <n v="178.73"/>
  </r>
  <r>
    <s v="ORD0720"/>
    <x v="284"/>
    <s v="Backpack"/>
    <x v="2"/>
    <x v="2"/>
    <s v="Online"/>
    <s v="Cash"/>
    <n v="4"/>
    <n v="1271.3399999999999"/>
    <x v="719"/>
    <n v="1078.76"/>
  </r>
  <r>
    <s v="ORD0721"/>
    <x v="78"/>
    <s v="Notebook"/>
    <x v="3"/>
    <x v="0"/>
    <s v="In-Store"/>
    <s v="Net Banking"/>
    <n v="2"/>
    <n v="85.03"/>
    <x v="720"/>
    <n v="23.6"/>
  </r>
  <r>
    <s v="ORD0722"/>
    <x v="309"/>
    <s v="Notebook"/>
    <x v="3"/>
    <x v="4"/>
    <s v="In-Store"/>
    <s v="UPI"/>
    <n v="2"/>
    <n v="72.3"/>
    <x v="721"/>
    <n v="33.24"/>
  </r>
  <r>
    <s v="ORD0723"/>
    <x v="207"/>
    <s v="Desk"/>
    <x v="1"/>
    <x v="3"/>
    <s v="Online"/>
    <s v="Net Banking"/>
    <n v="3"/>
    <n v="8710.4699999999993"/>
    <x v="722"/>
    <n v="7380.49"/>
  </r>
  <r>
    <s v="ORD0724"/>
    <x v="261"/>
    <s v="Pen Pack"/>
    <x v="3"/>
    <x v="4"/>
    <s v="In-Store"/>
    <s v="UPI"/>
    <n v="1"/>
    <n v="110.8"/>
    <x v="723"/>
    <n v="19.57"/>
  </r>
  <r>
    <s v="ORD0725"/>
    <x v="241"/>
    <s v="Pen Pack"/>
    <x v="3"/>
    <x v="4"/>
    <s v="Online"/>
    <s v="Net Banking"/>
    <n v="1"/>
    <n v="129.05000000000001"/>
    <x v="724"/>
    <n v="36.57"/>
  </r>
  <r>
    <s v="ORD0726"/>
    <x v="107"/>
    <s v="Headphones"/>
    <x v="0"/>
    <x v="0"/>
    <s v="In-Store"/>
    <s v="Net Banking"/>
    <n v="1"/>
    <n v="1902.58"/>
    <x v="725"/>
    <n v="338.23"/>
  </r>
  <r>
    <s v="ORD0727"/>
    <x v="44"/>
    <s v="Backpack"/>
    <x v="2"/>
    <x v="2"/>
    <s v="In-Store"/>
    <s v="Debit Card"/>
    <n v="4"/>
    <n v="1116.98"/>
    <x v="726"/>
    <n v="1302.71"/>
  </r>
  <r>
    <s v="ORD0728"/>
    <x v="310"/>
    <s v="Smartphone"/>
    <x v="0"/>
    <x v="1"/>
    <s v="Online"/>
    <s v="UPI"/>
    <n v="3"/>
    <n v="19576.89"/>
    <x v="727"/>
    <n v="11984.2"/>
  </r>
  <r>
    <s v="ORD0729"/>
    <x v="134"/>
    <s v="Pen Pack"/>
    <x v="3"/>
    <x v="0"/>
    <s v="Online"/>
    <s v="Debit Card"/>
    <n v="3"/>
    <n v="120.54"/>
    <x v="728"/>
    <n v="137.03"/>
  </r>
  <r>
    <s v="ORD0730"/>
    <x v="173"/>
    <s v="Laptop"/>
    <x v="0"/>
    <x v="0"/>
    <s v="In-Store"/>
    <s v="Credit Card"/>
    <n v="1"/>
    <n v="44235.91"/>
    <x v="729"/>
    <n v="8234.77"/>
  </r>
  <r>
    <s v="ORD0731"/>
    <x v="92"/>
    <s v="Office Chair"/>
    <x v="1"/>
    <x v="2"/>
    <s v="Online"/>
    <s v="Debit Card"/>
    <n v="1"/>
    <n v="6209.64"/>
    <x v="730"/>
    <n v="1844.39"/>
  </r>
  <r>
    <s v="ORD0732"/>
    <x v="207"/>
    <s v="Headphones"/>
    <x v="0"/>
    <x v="3"/>
    <s v="Online"/>
    <s v="Credit Card"/>
    <n v="1"/>
    <n v="1625.49"/>
    <x v="731"/>
    <n v="354.41"/>
  </r>
  <r>
    <s v="ORD0733"/>
    <x v="62"/>
    <s v="Notebook"/>
    <x v="3"/>
    <x v="4"/>
    <s v="Online"/>
    <s v="Credit Card"/>
    <n v="2"/>
    <n v="76.34"/>
    <x v="732"/>
    <n v="20.57"/>
  </r>
  <r>
    <s v="ORD0734"/>
    <x v="303"/>
    <s v="Desk"/>
    <x v="1"/>
    <x v="1"/>
    <s v="Online"/>
    <s v="Cash"/>
    <n v="2"/>
    <n v="8709.73"/>
    <x v="733"/>
    <n v="4610.09"/>
  </r>
  <r>
    <s v="ORD0735"/>
    <x v="311"/>
    <s v="Laptop"/>
    <x v="0"/>
    <x v="1"/>
    <s v="In-Store"/>
    <s v="Net Banking"/>
    <n v="1"/>
    <n v="38251.919999999998"/>
    <x v="734"/>
    <n v="10294.31"/>
  </r>
  <r>
    <s v="ORD0736"/>
    <x v="312"/>
    <s v="Desk"/>
    <x v="1"/>
    <x v="3"/>
    <s v="Online"/>
    <s v="Cash"/>
    <n v="1"/>
    <n v="8456.66"/>
    <x v="735"/>
    <n v="1546.01"/>
  </r>
  <r>
    <s v="ORD0737"/>
    <x v="159"/>
    <s v="Headphones"/>
    <x v="0"/>
    <x v="0"/>
    <s v="In-Store"/>
    <s v="Debit Card"/>
    <n v="1"/>
    <n v="1908.85"/>
    <x v="736"/>
    <n v="378.65"/>
  </r>
  <r>
    <s v="ORD0738"/>
    <x v="255"/>
    <s v="Keyboard"/>
    <x v="0"/>
    <x v="1"/>
    <s v="Online"/>
    <s v="Net Banking"/>
    <n v="3"/>
    <n v="893.77"/>
    <x v="737"/>
    <n v="857.37"/>
  </r>
  <r>
    <s v="ORD0739"/>
    <x v="313"/>
    <s v="Notebook"/>
    <x v="3"/>
    <x v="4"/>
    <s v="In-Store"/>
    <s v="Cash"/>
    <n v="1"/>
    <n v="83.19"/>
    <x v="738"/>
    <n v="17.22"/>
  </r>
  <r>
    <s v="ORD0740"/>
    <x v="314"/>
    <s v="Smartphone"/>
    <x v="0"/>
    <x v="1"/>
    <s v="In-Store"/>
    <s v="Debit Card"/>
    <n v="2"/>
    <n v="17465.189999999999"/>
    <x v="739"/>
    <n v="9084.59"/>
  </r>
  <r>
    <s v="ORD0741"/>
    <x v="146"/>
    <s v="Monitor"/>
    <x v="0"/>
    <x v="0"/>
    <s v="In-Store"/>
    <s v="Net Banking"/>
    <n v="1"/>
    <n v="11047.04"/>
    <x v="740"/>
    <n v="1849.67"/>
  </r>
  <r>
    <s v="ORD0742"/>
    <x v="150"/>
    <s v="Smartphone"/>
    <x v="0"/>
    <x v="2"/>
    <s v="Online"/>
    <s v="Net Banking"/>
    <n v="3"/>
    <n v="18117.88"/>
    <x v="741"/>
    <n v="14990.07"/>
  </r>
  <r>
    <s v="ORD0743"/>
    <x v="74"/>
    <s v="Water Bottle"/>
    <x v="2"/>
    <x v="1"/>
    <s v="In-Store"/>
    <s v="Cash"/>
    <n v="1"/>
    <n v="348.77"/>
    <x v="742"/>
    <n v="126.54"/>
  </r>
  <r>
    <s v="ORD0744"/>
    <x v="159"/>
    <s v="Notebook"/>
    <x v="3"/>
    <x v="0"/>
    <s v="In-Store"/>
    <s v="UPI"/>
    <n v="2"/>
    <n v="75.78"/>
    <x v="743"/>
    <n v="31.48"/>
  </r>
  <r>
    <s v="ORD0745"/>
    <x v="224"/>
    <s v="Monitor"/>
    <x v="0"/>
    <x v="1"/>
    <s v="In-Store"/>
    <s v="Cash"/>
    <n v="2"/>
    <n v="12132.21"/>
    <x v="744"/>
    <n v="4034.54"/>
  </r>
  <r>
    <s v="ORD0746"/>
    <x v="31"/>
    <s v="Monitor"/>
    <x v="0"/>
    <x v="2"/>
    <s v="In-Store"/>
    <s v="Cash"/>
    <n v="1"/>
    <n v="12753.76"/>
    <x v="745"/>
    <n v="2288.67"/>
  </r>
  <r>
    <s v="ORD0747"/>
    <x v="77"/>
    <s v="Keyboard"/>
    <x v="0"/>
    <x v="3"/>
    <s v="Online"/>
    <s v="Credit Card"/>
    <n v="1"/>
    <n v="849.17"/>
    <x v="746"/>
    <n v="292.01"/>
  </r>
  <r>
    <s v="ORD0748"/>
    <x v="84"/>
    <s v="Headphones"/>
    <x v="0"/>
    <x v="2"/>
    <s v="Online"/>
    <s v="Credit Card"/>
    <n v="2"/>
    <n v="1724.94"/>
    <x v="747"/>
    <n v="758.81"/>
  </r>
  <r>
    <s v="ORD0749"/>
    <x v="192"/>
    <s v="Notebook"/>
    <x v="3"/>
    <x v="2"/>
    <s v="In-Store"/>
    <s v="UPI"/>
    <n v="1"/>
    <n v="84.71"/>
    <x v="748"/>
    <n v="17.22"/>
  </r>
  <r>
    <s v="ORD0750"/>
    <x v="178"/>
    <s v="Laptop"/>
    <x v="0"/>
    <x v="4"/>
    <s v="Online"/>
    <s v="Debit Card"/>
    <n v="2"/>
    <n v="42087.56"/>
    <x v="749"/>
    <n v="13435.57"/>
  </r>
  <r>
    <s v="ORD0751"/>
    <x v="93"/>
    <s v="Laptop"/>
    <x v="0"/>
    <x v="0"/>
    <s v="In-Store"/>
    <s v="UPI"/>
    <n v="1"/>
    <n v="42504.25"/>
    <x v="750"/>
    <n v="5335.94"/>
  </r>
  <r>
    <s v="ORD0752"/>
    <x v="263"/>
    <s v="Pen Pack"/>
    <x v="3"/>
    <x v="2"/>
    <s v="In-Store"/>
    <s v="Cash"/>
    <n v="3"/>
    <n v="117.46"/>
    <x v="751"/>
    <n v="104.76"/>
  </r>
  <r>
    <s v="ORD0753"/>
    <x v="297"/>
    <s v="Water Bottle"/>
    <x v="2"/>
    <x v="3"/>
    <s v="In-Store"/>
    <s v="Debit Card"/>
    <n v="1"/>
    <n v="327.14"/>
    <x v="752"/>
    <n v="112.48"/>
  </r>
  <r>
    <s v="ORD0754"/>
    <x v="167"/>
    <s v="Headphones"/>
    <x v="0"/>
    <x v="0"/>
    <s v="Online"/>
    <s v="UPI"/>
    <n v="1"/>
    <n v="1934.18"/>
    <x v="753"/>
    <n v="671.85"/>
  </r>
  <r>
    <s v="ORD0755"/>
    <x v="310"/>
    <s v="Mouse"/>
    <x v="0"/>
    <x v="1"/>
    <s v="Online"/>
    <s v="Credit Card"/>
    <n v="4"/>
    <n v="515.79"/>
    <x v="754"/>
    <n v="261"/>
  </r>
  <r>
    <s v="ORD0756"/>
    <x v="118"/>
    <s v="Pen Pack"/>
    <x v="3"/>
    <x v="2"/>
    <s v="Online"/>
    <s v="Cash"/>
    <n v="4"/>
    <n v="129.44999999999999"/>
    <x v="755"/>
    <n v="103.14"/>
  </r>
  <r>
    <s v="ORD0757"/>
    <x v="142"/>
    <s v="Pen Pack"/>
    <x v="3"/>
    <x v="1"/>
    <s v="In-Store"/>
    <s v="Net Banking"/>
    <n v="2"/>
    <n v="118.8"/>
    <x v="756"/>
    <n v="68.34"/>
  </r>
  <r>
    <s v="ORD0758"/>
    <x v="129"/>
    <s v="Monitor"/>
    <x v="0"/>
    <x v="4"/>
    <s v="In-Store"/>
    <s v="Net Banking"/>
    <n v="2"/>
    <n v="12554.19"/>
    <x v="757"/>
    <n v="4892.2700000000004"/>
  </r>
  <r>
    <s v="ORD0759"/>
    <x v="90"/>
    <s v="Notebook"/>
    <x v="3"/>
    <x v="4"/>
    <s v="Online"/>
    <s v="Net Banking"/>
    <n v="1"/>
    <n v="72.61"/>
    <x v="758"/>
    <n v="18.47"/>
  </r>
  <r>
    <s v="ORD0760"/>
    <x v="289"/>
    <s v="Mouse"/>
    <x v="0"/>
    <x v="4"/>
    <s v="In-Store"/>
    <s v="Net Banking"/>
    <n v="1"/>
    <n v="523.02"/>
    <x v="759"/>
    <n v="127.16"/>
  </r>
  <r>
    <s v="ORD0761"/>
    <x v="105"/>
    <s v="Water Bottle"/>
    <x v="2"/>
    <x v="0"/>
    <s v="In-Store"/>
    <s v="Net Banking"/>
    <n v="4"/>
    <n v="321.19"/>
    <x v="760"/>
    <n v="330.39"/>
  </r>
  <r>
    <s v="ORD0762"/>
    <x v="24"/>
    <s v="Notebook"/>
    <x v="3"/>
    <x v="2"/>
    <s v="In-Store"/>
    <s v="Cash"/>
    <n v="2"/>
    <n v="72.17"/>
    <x v="761"/>
    <n v="37.81"/>
  </r>
  <r>
    <s v="ORD0763"/>
    <x v="109"/>
    <s v="Desk"/>
    <x v="1"/>
    <x v="4"/>
    <s v="In-Store"/>
    <s v="UPI"/>
    <n v="1"/>
    <n v="8163.59"/>
    <x v="762"/>
    <n v="1143.3499999999999"/>
  </r>
  <r>
    <s v="ORD0764"/>
    <x v="55"/>
    <s v="Backpack"/>
    <x v="2"/>
    <x v="4"/>
    <s v="Online"/>
    <s v="Debit Card"/>
    <n v="2"/>
    <n v="1217.49"/>
    <x v="763"/>
    <n v="509.78"/>
  </r>
  <r>
    <s v="ORD0765"/>
    <x v="315"/>
    <s v="Smartphone"/>
    <x v="0"/>
    <x v="4"/>
    <s v="Online"/>
    <s v="Net Banking"/>
    <n v="1"/>
    <n v="16476.7"/>
    <x v="764"/>
    <n v="2903.55"/>
  </r>
  <r>
    <s v="ORD0766"/>
    <x v="316"/>
    <s v="Desk"/>
    <x v="1"/>
    <x v="1"/>
    <s v="Online"/>
    <s v="Cash"/>
    <n v="3"/>
    <n v="8125.57"/>
    <x v="765"/>
    <n v="8556.16"/>
  </r>
  <r>
    <s v="ORD0767"/>
    <x v="246"/>
    <s v="Headphones"/>
    <x v="0"/>
    <x v="3"/>
    <s v="Online"/>
    <s v="Debit Card"/>
    <n v="1"/>
    <n v="1872.28"/>
    <x v="766"/>
    <n v="475.41"/>
  </r>
  <r>
    <s v="ORD0768"/>
    <x v="125"/>
    <s v="Headphones"/>
    <x v="0"/>
    <x v="2"/>
    <s v="In-Store"/>
    <s v="Credit Card"/>
    <n v="2"/>
    <n v="1915.82"/>
    <x v="767"/>
    <n v="621.57000000000005"/>
  </r>
  <r>
    <s v="ORD0769"/>
    <x v="84"/>
    <s v="Backpack"/>
    <x v="2"/>
    <x v="4"/>
    <s v="Online"/>
    <s v="Debit Card"/>
    <n v="3"/>
    <n v="1120.1500000000001"/>
    <x v="768"/>
    <n v="772.17"/>
  </r>
  <r>
    <s v="ORD0770"/>
    <x v="292"/>
    <s v="Laptop"/>
    <x v="0"/>
    <x v="3"/>
    <s v="Online"/>
    <s v="Cash"/>
    <n v="1"/>
    <n v="41149.46"/>
    <x v="769"/>
    <n v="12412.51"/>
  </r>
  <r>
    <s v="ORD0771"/>
    <x v="279"/>
    <s v="Mouse"/>
    <x v="0"/>
    <x v="2"/>
    <s v="Online"/>
    <s v="Debit Card"/>
    <n v="1"/>
    <n v="476.26"/>
    <x v="770"/>
    <n v="115.3"/>
  </r>
  <r>
    <s v="ORD0772"/>
    <x v="151"/>
    <s v="Pen Pack"/>
    <x v="3"/>
    <x v="0"/>
    <s v="Online"/>
    <s v="Net Banking"/>
    <n v="2"/>
    <n v="131.08000000000001"/>
    <x v="771"/>
    <n v="53.07"/>
  </r>
  <r>
    <s v="ORD0773"/>
    <x v="299"/>
    <s v="Notebook"/>
    <x v="3"/>
    <x v="4"/>
    <s v="In-Store"/>
    <s v="Debit Card"/>
    <n v="5"/>
    <n v="78.91"/>
    <x v="772"/>
    <n v="55.75"/>
  </r>
  <r>
    <s v="ORD0774"/>
    <x v="14"/>
    <s v="Smartphone"/>
    <x v="0"/>
    <x v="1"/>
    <s v="Online"/>
    <s v="Net Banking"/>
    <n v="1"/>
    <n v="18303.04"/>
    <x v="773"/>
    <n v="4760.84"/>
  </r>
  <r>
    <s v="ORD0775"/>
    <x v="249"/>
    <s v="Keyboard"/>
    <x v="0"/>
    <x v="0"/>
    <s v="Online"/>
    <s v="UPI"/>
    <n v="2"/>
    <n v="842.38"/>
    <x v="774"/>
    <n v="400.33"/>
  </r>
  <r>
    <s v="ORD0776"/>
    <x v="268"/>
    <s v="Smartphone"/>
    <x v="0"/>
    <x v="4"/>
    <s v="In-Store"/>
    <s v="Credit Card"/>
    <n v="2"/>
    <n v="18667.8"/>
    <x v="775"/>
    <n v="10775.27"/>
  </r>
  <r>
    <s v="ORD0777"/>
    <x v="317"/>
    <s v="Laptop"/>
    <x v="0"/>
    <x v="1"/>
    <s v="Online"/>
    <s v="UPI"/>
    <n v="2"/>
    <n v="38277.81"/>
    <x v="776"/>
    <n v="17265.13"/>
  </r>
  <r>
    <s v="ORD0778"/>
    <x v="214"/>
    <s v="Monitor"/>
    <x v="0"/>
    <x v="3"/>
    <s v="Online"/>
    <s v="UPI"/>
    <n v="1"/>
    <n v="12375.35"/>
    <x v="777"/>
    <n v="1807.13"/>
  </r>
  <r>
    <s v="ORD0779"/>
    <x v="232"/>
    <s v="Headphones"/>
    <x v="0"/>
    <x v="2"/>
    <s v="In-Store"/>
    <s v="Cash"/>
    <n v="1"/>
    <n v="1788.1"/>
    <x v="778"/>
    <n v="244.24"/>
  </r>
  <r>
    <s v="ORD0780"/>
    <x v="273"/>
    <s v="Keyboard"/>
    <x v="0"/>
    <x v="0"/>
    <s v="In-Store"/>
    <s v="UPI"/>
    <n v="3"/>
    <n v="868.21"/>
    <x v="779"/>
    <n v="880.08"/>
  </r>
  <r>
    <s v="ORD0781"/>
    <x v="13"/>
    <s v="Pen Pack"/>
    <x v="3"/>
    <x v="4"/>
    <s v="Online"/>
    <s v="Cash"/>
    <n v="1"/>
    <n v="109.44"/>
    <x v="780"/>
    <n v="14.4"/>
  </r>
  <r>
    <s v="ORD0782"/>
    <x v="31"/>
    <s v="Backpack"/>
    <x v="2"/>
    <x v="2"/>
    <s v="Online"/>
    <s v="Credit Card"/>
    <n v="5"/>
    <n v="1128.1600000000001"/>
    <x v="781"/>
    <n v="1567.66"/>
  </r>
  <r>
    <s v="ORD0783"/>
    <x v="20"/>
    <s v="Pen Pack"/>
    <x v="3"/>
    <x v="4"/>
    <s v="Online"/>
    <s v="UPI"/>
    <n v="1"/>
    <n v="123.44"/>
    <x v="782"/>
    <n v="17.62"/>
  </r>
  <r>
    <s v="ORD0784"/>
    <x v="34"/>
    <s v="Smartphone"/>
    <x v="0"/>
    <x v="2"/>
    <s v="Online"/>
    <s v="UPI"/>
    <n v="2"/>
    <n v="17102.150000000001"/>
    <x v="783"/>
    <n v="9032.35"/>
  </r>
  <r>
    <s v="ORD0785"/>
    <x v="301"/>
    <s v="Keyboard"/>
    <x v="0"/>
    <x v="2"/>
    <s v="Online"/>
    <s v="Net Banking"/>
    <n v="1"/>
    <n v="837.29"/>
    <x v="784"/>
    <n v="246.37"/>
  </r>
  <r>
    <s v="ORD0786"/>
    <x v="220"/>
    <s v="Backpack"/>
    <x v="2"/>
    <x v="0"/>
    <s v="Online"/>
    <s v="UPI"/>
    <n v="2"/>
    <n v="1176.94"/>
    <x v="785"/>
    <n v="449.07"/>
  </r>
  <r>
    <s v="ORD0787"/>
    <x v="318"/>
    <s v="Mouse"/>
    <x v="0"/>
    <x v="4"/>
    <s v="In-Store"/>
    <s v="Debit Card"/>
    <n v="3"/>
    <n v="498.21"/>
    <x v="786"/>
    <n v="347.53"/>
  </r>
  <r>
    <s v="ORD0788"/>
    <x v="176"/>
    <s v="Laptop"/>
    <x v="0"/>
    <x v="3"/>
    <s v="In-Store"/>
    <s v="UPI"/>
    <n v="2"/>
    <n v="45854.12"/>
    <x v="787"/>
    <n v="32687.25"/>
  </r>
  <r>
    <s v="ORD0789"/>
    <x v="134"/>
    <s v="Desk"/>
    <x v="1"/>
    <x v="2"/>
    <s v="Online"/>
    <s v="Debit Card"/>
    <n v="2"/>
    <n v="8417.91"/>
    <x v="788"/>
    <n v="6225.45"/>
  </r>
  <r>
    <s v="ORD0790"/>
    <x v="232"/>
    <s v="Pen Pack"/>
    <x v="3"/>
    <x v="0"/>
    <s v="In-Store"/>
    <s v="Credit Card"/>
    <n v="4"/>
    <n v="123.13"/>
    <x v="789"/>
    <n v="141.15"/>
  </r>
  <r>
    <s v="ORD0791"/>
    <x v="114"/>
    <s v="Laptop"/>
    <x v="0"/>
    <x v="2"/>
    <s v="In-Store"/>
    <s v="UPI"/>
    <n v="1"/>
    <n v="43845.81"/>
    <x v="790"/>
    <n v="9901.8799999999992"/>
  </r>
  <r>
    <s v="ORD0792"/>
    <x v="20"/>
    <s v="Keyboard"/>
    <x v="0"/>
    <x v="2"/>
    <s v="Online"/>
    <s v="UPI"/>
    <n v="1"/>
    <n v="906.11"/>
    <x v="791"/>
    <n v="147.78"/>
  </r>
  <r>
    <s v="ORD0793"/>
    <x v="270"/>
    <s v="Laptop"/>
    <x v="0"/>
    <x v="1"/>
    <s v="In-Store"/>
    <s v="Net Banking"/>
    <n v="1"/>
    <n v="43856.5"/>
    <x v="792"/>
    <n v="12041.59"/>
  </r>
  <r>
    <s v="ORD0794"/>
    <x v="207"/>
    <s v="Mouse"/>
    <x v="0"/>
    <x v="1"/>
    <s v="In-Store"/>
    <s v="UPI"/>
    <n v="2"/>
    <n v="542.48"/>
    <x v="793"/>
    <n v="401.88"/>
  </r>
  <r>
    <s v="ORD0795"/>
    <x v="184"/>
    <s v="Monitor"/>
    <x v="0"/>
    <x v="1"/>
    <s v="Online"/>
    <s v="Debit Card"/>
    <n v="1"/>
    <n v="12483.11"/>
    <x v="794"/>
    <n v="4319.91"/>
  </r>
  <r>
    <s v="ORD0796"/>
    <x v="245"/>
    <s v="Backpack"/>
    <x v="2"/>
    <x v="0"/>
    <s v="Online"/>
    <s v="Cash"/>
    <n v="2"/>
    <n v="1280.48"/>
    <x v="795"/>
    <n v="930.58"/>
  </r>
  <r>
    <s v="ORD0797"/>
    <x v="32"/>
    <s v="Monitor"/>
    <x v="0"/>
    <x v="2"/>
    <s v="In-Store"/>
    <s v="UPI"/>
    <n v="1"/>
    <n v="12730.69"/>
    <x v="796"/>
    <n v="3426.91"/>
  </r>
  <r>
    <s v="ORD0798"/>
    <x v="255"/>
    <s v="Monitor"/>
    <x v="0"/>
    <x v="1"/>
    <s v="Online"/>
    <s v="Net Banking"/>
    <n v="2"/>
    <n v="11571.82"/>
    <x v="797"/>
    <n v="2989.69"/>
  </r>
  <r>
    <s v="ORD0799"/>
    <x v="161"/>
    <s v="Notebook"/>
    <x v="3"/>
    <x v="1"/>
    <s v="In-Store"/>
    <s v="Net Banking"/>
    <n v="1"/>
    <n v="76.38"/>
    <x v="798"/>
    <n v="13.98"/>
  </r>
  <r>
    <s v="ORD0800"/>
    <x v="319"/>
    <s v="Backpack"/>
    <x v="2"/>
    <x v="3"/>
    <s v="In-Store"/>
    <s v="Credit Card"/>
    <n v="1"/>
    <n v="1219.68"/>
    <x v="799"/>
    <n v="421.18"/>
  </r>
  <r>
    <s v="ORD0801"/>
    <x v="206"/>
    <s v="Backpack"/>
    <x v="2"/>
    <x v="3"/>
    <s v="In-Store"/>
    <s v="Cash"/>
    <n v="1"/>
    <n v="1081.73"/>
    <x v="800"/>
    <n v="150.58000000000001"/>
  </r>
  <r>
    <s v="ORD0802"/>
    <x v="219"/>
    <s v="Backpack"/>
    <x v="2"/>
    <x v="3"/>
    <s v="In-Store"/>
    <s v="Cash"/>
    <n v="2"/>
    <n v="1129.48"/>
    <x v="801"/>
    <n v="482.62"/>
  </r>
  <r>
    <s v="ORD0803"/>
    <x v="234"/>
    <s v="Headphones"/>
    <x v="0"/>
    <x v="2"/>
    <s v="Online"/>
    <s v="Debit Card"/>
    <n v="2"/>
    <n v="1633.54"/>
    <x v="802"/>
    <n v="1088.5899999999999"/>
  </r>
  <r>
    <s v="ORD0804"/>
    <x v="253"/>
    <s v="Pen Pack"/>
    <x v="3"/>
    <x v="3"/>
    <s v="Online"/>
    <s v="Net Banking"/>
    <n v="1"/>
    <n v="113.66"/>
    <x v="803"/>
    <n v="39.72"/>
  </r>
  <r>
    <s v="ORD0805"/>
    <x v="122"/>
    <s v="Water Bottle"/>
    <x v="2"/>
    <x v="1"/>
    <s v="In-Store"/>
    <s v="UPI"/>
    <n v="2"/>
    <n v="347.5"/>
    <x v="804"/>
    <n v="150.9"/>
  </r>
  <r>
    <s v="ORD0806"/>
    <x v="79"/>
    <s v="Smartphone"/>
    <x v="0"/>
    <x v="2"/>
    <s v="In-Store"/>
    <s v="Credit Card"/>
    <n v="3"/>
    <n v="18666.88"/>
    <x v="805"/>
    <n v="7177.65"/>
  </r>
  <r>
    <s v="ORD0807"/>
    <x v="172"/>
    <s v="Keyboard"/>
    <x v="0"/>
    <x v="1"/>
    <s v="In-Store"/>
    <s v="Debit Card"/>
    <n v="4"/>
    <n v="819.72"/>
    <x v="806"/>
    <n v="935.5"/>
  </r>
  <r>
    <s v="ORD0808"/>
    <x v="320"/>
    <s v="Monitor"/>
    <x v="0"/>
    <x v="0"/>
    <s v="Online"/>
    <s v="Credit Card"/>
    <n v="3"/>
    <n v="12620.18"/>
    <x v="807"/>
    <n v="13960.6"/>
  </r>
  <r>
    <s v="ORD0809"/>
    <x v="267"/>
    <s v="Backpack"/>
    <x v="2"/>
    <x v="2"/>
    <s v="In-Store"/>
    <s v="Cash"/>
    <n v="2"/>
    <n v="1097.01"/>
    <x v="808"/>
    <n v="699.5"/>
  </r>
  <r>
    <s v="ORD0810"/>
    <x v="54"/>
    <s v="Mouse"/>
    <x v="0"/>
    <x v="4"/>
    <s v="Online"/>
    <s v="UPI"/>
    <n v="2"/>
    <n v="482.57"/>
    <x v="809"/>
    <n v="171.28"/>
  </r>
  <r>
    <s v="ORD0811"/>
    <x v="321"/>
    <s v="Mouse"/>
    <x v="0"/>
    <x v="0"/>
    <s v="In-Store"/>
    <s v="Net Banking"/>
    <n v="1"/>
    <n v="470"/>
    <x v="810"/>
    <n v="69.680000000000007"/>
  </r>
  <r>
    <s v="ORD0812"/>
    <x v="315"/>
    <s v="Laptop"/>
    <x v="0"/>
    <x v="2"/>
    <s v="Online"/>
    <s v="Cash"/>
    <n v="4"/>
    <n v="39017.51"/>
    <x v="811"/>
    <n v="21654.62"/>
  </r>
  <r>
    <s v="ORD0813"/>
    <x v="16"/>
    <s v="Headphones"/>
    <x v="0"/>
    <x v="4"/>
    <s v="Online"/>
    <s v="Debit Card"/>
    <n v="2"/>
    <n v="1689.9"/>
    <x v="812"/>
    <n v="969.21"/>
  </r>
  <r>
    <s v="ORD0814"/>
    <x v="64"/>
    <s v="Laptop"/>
    <x v="0"/>
    <x v="2"/>
    <s v="In-Store"/>
    <s v="Cash"/>
    <n v="2"/>
    <n v="38301.07"/>
    <x v="813"/>
    <n v="26390.17"/>
  </r>
  <r>
    <s v="ORD0815"/>
    <x v="322"/>
    <s v="Notebook"/>
    <x v="3"/>
    <x v="3"/>
    <s v="Online"/>
    <s v="Net Banking"/>
    <n v="1"/>
    <n v="76.72"/>
    <x v="814"/>
    <n v="26.03"/>
  </r>
  <r>
    <s v="ORD0816"/>
    <x v="163"/>
    <s v="Office Chair"/>
    <x v="1"/>
    <x v="1"/>
    <s v="In-Store"/>
    <s v="Cash"/>
    <n v="1"/>
    <n v="6964.07"/>
    <x v="815"/>
    <n v="1760.55"/>
  </r>
  <r>
    <s v="ORD0817"/>
    <x v="3"/>
    <s v="Laptop"/>
    <x v="0"/>
    <x v="4"/>
    <s v="In-Store"/>
    <s v="Net Banking"/>
    <n v="3"/>
    <n v="43983.9"/>
    <x v="816"/>
    <n v="41679.57"/>
  </r>
  <r>
    <s v="ORD0818"/>
    <x v="113"/>
    <s v="Monitor"/>
    <x v="0"/>
    <x v="2"/>
    <s v="Online"/>
    <s v="UPI"/>
    <n v="4"/>
    <n v="12993.01"/>
    <x v="817"/>
    <n v="7611.54"/>
  </r>
  <r>
    <s v="ORD0819"/>
    <x v="323"/>
    <s v="Mouse"/>
    <x v="0"/>
    <x v="2"/>
    <s v="Online"/>
    <s v="Cash"/>
    <n v="3"/>
    <n v="453.36"/>
    <x v="818"/>
    <n v="329.01"/>
  </r>
  <r>
    <s v="ORD0820"/>
    <x v="324"/>
    <s v="Office Chair"/>
    <x v="1"/>
    <x v="2"/>
    <s v="Online"/>
    <s v="Credit Card"/>
    <n v="1"/>
    <n v="6829"/>
    <x v="819"/>
    <n v="1364.29"/>
  </r>
  <r>
    <s v="ORD0821"/>
    <x v="260"/>
    <s v="Desk"/>
    <x v="1"/>
    <x v="4"/>
    <s v="Online"/>
    <s v="Cash"/>
    <n v="1"/>
    <n v="9898.11"/>
    <x v="820"/>
    <n v="3720.29"/>
  </r>
  <r>
    <s v="ORD0822"/>
    <x v="247"/>
    <s v="Mouse"/>
    <x v="0"/>
    <x v="1"/>
    <s v="In-Store"/>
    <s v="Credit Card"/>
    <n v="2"/>
    <n v="547.64"/>
    <x v="821"/>
    <n v="284.14"/>
  </r>
  <r>
    <s v="ORD0823"/>
    <x v="246"/>
    <s v="Keyboard"/>
    <x v="0"/>
    <x v="0"/>
    <s v="In-Store"/>
    <s v="Debit Card"/>
    <n v="2"/>
    <n v="924.01"/>
    <x v="822"/>
    <n v="288.85000000000002"/>
  </r>
  <r>
    <s v="ORD0824"/>
    <x v="130"/>
    <s v="Laptop"/>
    <x v="0"/>
    <x v="3"/>
    <s v="Online"/>
    <s v="UPI"/>
    <n v="1"/>
    <n v="44124.26"/>
    <x v="823"/>
    <n v="8758.92"/>
  </r>
  <r>
    <s v="ORD0825"/>
    <x v="83"/>
    <s v="Notebook"/>
    <x v="3"/>
    <x v="4"/>
    <s v="Online"/>
    <s v="UPI"/>
    <n v="3"/>
    <n v="72.88"/>
    <x v="824"/>
    <n v="29.35"/>
  </r>
  <r>
    <s v="ORD0826"/>
    <x v="318"/>
    <s v="Notebook"/>
    <x v="3"/>
    <x v="3"/>
    <s v="Online"/>
    <s v="Net Banking"/>
    <n v="2"/>
    <n v="72.650000000000006"/>
    <x v="825"/>
    <n v="41.37"/>
  </r>
  <r>
    <s v="ORD0827"/>
    <x v="325"/>
    <s v="Office Chair"/>
    <x v="1"/>
    <x v="2"/>
    <s v="Online"/>
    <s v="Credit Card"/>
    <n v="1"/>
    <n v="6285.41"/>
    <x v="826"/>
    <n v="1506.58"/>
  </r>
  <r>
    <s v="ORD0828"/>
    <x v="92"/>
    <s v="Notebook"/>
    <x v="3"/>
    <x v="0"/>
    <s v="Online"/>
    <s v="Debit Card"/>
    <n v="4"/>
    <n v="80.06"/>
    <x v="827"/>
    <n v="86.48"/>
  </r>
  <r>
    <s v="ORD0829"/>
    <x v="4"/>
    <s v="Backpack"/>
    <x v="2"/>
    <x v="3"/>
    <s v="In-Store"/>
    <s v="Cash"/>
    <n v="2"/>
    <n v="1206.4000000000001"/>
    <x v="828"/>
    <n v="839.88"/>
  </r>
  <r>
    <s v="ORD0830"/>
    <x v="83"/>
    <s v="Notebook"/>
    <x v="3"/>
    <x v="0"/>
    <s v="Online"/>
    <s v="Cash"/>
    <n v="3"/>
    <n v="87.13"/>
    <x v="829"/>
    <n v="44.36"/>
  </r>
  <r>
    <s v="ORD0831"/>
    <x v="214"/>
    <s v="Smartphone"/>
    <x v="0"/>
    <x v="0"/>
    <s v="Online"/>
    <s v="Credit Card"/>
    <n v="1"/>
    <n v="16843.72"/>
    <x v="830"/>
    <n v="2204.06"/>
  </r>
  <r>
    <s v="ORD0832"/>
    <x v="290"/>
    <s v="Smartphone"/>
    <x v="0"/>
    <x v="3"/>
    <s v="Online"/>
    <s v="Debit Card"/>
    <n v="2"/>
    <n v="17986.78"/>
    <x v="831"/>
    <n v="5486.03"/>
  </r>
  <r>
    <s v="ORD0833"/>
    <x v="167"/>
    <s v="Keyboard"/>
    <x v="0"/>
    <x v="2"/>
    <s v="Online"/>
    <s v="Debit Card"/>
    <n v="2"/>
    <n v="833.76"/>
    <x v="832"/>
    <n v="483.34"/>
  </r>
  <r>
    <s v="ORD0834"/>
    <x v="99"/>
    <s v="Smartphone"/>
    <x v="0"/>
    <x v="3"/>
    <s v="In-Store"/>
    <s v="Cash"/>
    <n v="1"/>
    <n v="19087.16"/>
    <x v="833"/>
    <n v="3109.56"/>
  </r>
  <r>
    <s v="ORD0835"/>
    <x v="308"/>
    <s v="Notebook"/>
    <x v="3"/>
    <x v="3"/>
    <s v="In-Store"/>
    <s v="Cash"/>
    <n v="2"/>
    <n v="84.59"/>
    <x v="834"/>
    <n v="42.9"/>
  </r>
  <r>
    <s v="ORD0836"/>
    <x v="298"/>
    <s v="Monitor"/>
    <x v="0"/>
    <x v="4"/>
    <s v="Online"/>
    <s v="Cash"/>
    <n v="1"/>
    <n v="12694.44"/>
    <x v="835"/>
    <n v="4257.0600000000004"/>
  </r>
  <r>
    <s v="ORD0837"/>
    <x v="326"/>
    <s v="Desk"/>
    <x v="1"/>
    <x v="2"/>
    <s v="Online"/>
    <s v="Net Banking"/>
    <n v="3"/>
    <n v="8185.17"/>
    <x v="836"/>
    <n v="7076.62"/>
  </r>
  <r>
    <s v="ORD0838"/>
    <x v="40"/>
    <s v="Mouse"/>
    <x v="0"/>
    <x v="1"/>
    <s v="Online"/>
    <s v="Credit Card"/>
    <n v="2"/>
    <n v="468.23"/>
    <x v="837"/>
    <n v="313.16000000000003"/>
  </r>
  <r>
    <s v="ORD0839"/>
    <x v="292"/>
    <s v="Laptop"/>
    <x v="0"/>
    <x v="4"/>
    <s v="Online"/>
    <s v="Credit Card"/>
    <n v="5"/>
    <n v="42626.01"/>
    <x v="838"/>
    <n v="56558.1"/>
  </r>
  <r>
    <s v="ORD0840"/>
    <x v="126"/>
    <s v="Mouse"/>
    <x v="0"/>
    <x v="4"/>
    <s v="In-Store"/>
    <s v="Net Banking"/>
    <n v="1"/>
    <n v="481.69"/>
    <x v="839"/>
    <n v="139.97999999999999"/>
  </r>
  <r>
    <s v="ORD0841"/>
    <x v="250"/>
    <s v="Water Bottle"/>
    <x v="2"/>
    <x v="2"/>
    <s v="Online"/>
    <s v="Cash"/>
    <n v="1"/>
    <n v="379.43"/>
    <x v="840"/>
    <n v="104.27"/>
  </r>
  <r>
    <s v="ORD0842"/>
    <x v="223"/>
    <s v="Headphones"/>
    <x v="0"/>
    <x v="4"/>
    <s v="In-Store"/>
    <s v="Cash"/>
    <n v="1"/>
    <n v="1885.86"/>
    <x v="841"/>
    <n v="238.27"/>
  </r>
  <r>
    <s v="ORD0843"/>
    <x v="198"/>
    <s v="Monitor"/>
    <x v="0"/>
    <x v="2"/>
    <s v="In-Store"/>
    <s v="UPI"/>
    <n v="2"/>
    <n v="12718.98"/>
    <x v="842"/>
    <n v="4847.93"/>
  </r>
  <r>
    <s v="ORD0844"/>
    <x v="243"/>
    <s v="Laptop"/>
    <x v="0"/>
    <x v="2"/>
    <s v="Online"/>
    <s v="Cash"/>
    <n v="1"/>
    <n v="42428.06"/>
    <x v="843"/>
    <n v="12724.12"/>
  </r>
  <r>
    <s v="ORD0845"/>
    <x v="312"/>
    <s v="Smartphone"/>
    <x v="0"/>
    <x v="3"/>
    <s v="Online"/>
    <s v="Debit Card"/>
    <n v="1"/>
    <n v="18389.34"/>
    <x v="844"/>
    <n v="6054.89"/>
  </r>
  <r>
    <s v="ORD0846"/>
    <x v="327"/>
    <s v="Laptop"/>
    <x v="0"/>
    <x v="0"/>
    <s v="In-Store"/>
    <s v="Credit Card"/>
    <n v="1"/>
    <n v="44935.39"/>
    <x v="845"/>
    <n v="9165.18"/>
  </r>
  <r>
    <s v="ORD0847"/>
    <x v="123"/>
    <s v="Notebook"/>
    <x v="3"/>
    <x v="4"/>
    <s v="In-Store"/>
    <s v="Credit Card"/>
    <n v="2"/>
    <n v="80.180000000000007"/>
    <x v="846"/>
    <n v="58.6"/>
  </r>
  <r>
    <s v="ORD0848"/>
    <x v="264"/>
    <s v="Notebook"/>
    <x v="3"/>
    <x v="4"/>
    <s v="In-Store"/>
    <s v="Net Banking"/>
    <n v="1"/>
    <n v="72.2"/>
    <x v="847"/>
    <n v="20.96"/>
  </r>
  <r>
    <s v="ORD0849"/>
    <x v="214"/>
    <s v="Office Chair"/>
    <x v="1"/>
    <x v="2"/>
    <s v="In-Store"/>
    <s v="Credit Card"/>
    <n v="3"/>
    <n v="6427.49"/>
    <x v="848"/>
    <n v="2351.0100000000002"/>
  </r>
  <r>
    <s v="ORD0850"/>
    <x v="328"/>
    <s v="Mouse"/>
    <x v="0"/>
    <x v="0"/>
    <s v="Online"/>
    <s v="Credit Card"/>
    <n v="4"/>
    <n v="463.96"/>
    <x v="849"/>
    <n v="421.89"/>
  </r>
  <r>
    <s v="ORD0851"/>
    <x v="298"/>
    <s v="Backpack"/>
    <x v="2"/>
    <x v="3"/>
    <s v="In-Store"/>
    <s v="UPI"/>
    <n v="5"/>
    <n v="1206.07"/>
    <x v="850"/>
    <n v="1765.64"/>
  </r>
  <r>
    <s v="ORD0852"/>
    <x v="129"/>
    <s v="Pen Pack"/>
    <x v="3"/>
    <x v="2"/>
    <s v="Online"/>
    <s v="Credit Card"/>
    <n v="2"/>
    <n v="114.56"/>
    <x v="851"/>
    <n v="76.650000000000006"/>
  </r>
  <r>
    <s v="ORD0853"/>
    <x v="160"/>
    <s v="Pen Pack"/>
    <x v="3"/>
    <x v="4"/>
    <s v="In-Store"/>
    <s v="Cash"/>
    <n v="1"/>
    <n v="119.77"/>
    <x v="852"/>
    <n v="19.89"/>
  </r>
  <r>
    <s v="ORD0854"/>
    <x v="133"/>
    <s v="Mouse"/>
    <x v="0"/>
    <x v="4"/>
    <s v="In-Store"/>
    <s v="Cash"/>
    <n v="2"/>
    <n v="452.68"/>
    <x v="853"/>
    <n v="343.46"/>
  </r>
  <r>
    <s v="ORD0855"/>
    <x v="147"/>
    <s v="Keyboard"/>
    <x v="0"/>
    <x v="1"/>
    <s v="Online"/>
    <s v="UPI"/>
    <n v="2"/>
    <n v="861.78"/>
    <x v="854"/>
    <n v="574.57000000000005"/>
  </r>
  <r>
    <s v="ORD0856"/>
    <x v="290"/>
    <s v="Backpack"/>
    <x v="2"/>
    <x v="3"/>
    <s v="In-Store"/>
    <s v="Net Banking"/>
    <n v="5"/>
    <n v="1096.01"/>
    <x v="855"/>
    <n v="1020.13"/>
  </r>
  <r>
    <s v="ORD0857"/>
    <x v="73"/>
    <s v="Desk"/>
    <x v="1"/>
    <x v="0"/>
    <s v="In-Store"/>
    <s v="Net Banking"/>
    <n v="2"/>
    <n v="8956.8700000000008"/>
    <x v="856"/>
    <n v="3573.72"/>
  </r>
  <r>
    <s v="ORD0858"/>
    <x v="291"/>
    <s v="Laptop"/>
    <x v="0"/>
    <x v="4"/>
    <s v="In-Store"/>
    <s v="Credit Card"/>
    <n v="3"/>
    <n v="39167.919999999998"/>
    <x v="857"/>
    <n v="42863.88"/>
  </r>
  <r>
    <s v="ORD0859"/>
    <x v="312"/>
    <s v="Headphones"/>
    <x v="0"/>
    <x v="4"/>
    <s v="Online"/>
    <s v="Debit Card"/>
    <n v="1"/>
    <n v="1750.02"/>
    <x v="858"/>
    <n v="375.51"/>
  </r>
  <r>
    <s v="ORD0860"/>
    <x v="240"/>
    <s v="Water Bottle"/>
    <x v="2"/>
    <x v="1"/>
    <s v="Online"/>
    <s v="Net Banking"/>
    <n v="2"/>
    <n v="320.38"/>
    <x v="859"/>
    <n v="211.2"/>
  </r>
  <r>
    <s v="ORD0861"/>
    <x v="27"/>
    <s v="Water Bottle"/>
    <x v="2"/>
    <x v="4"/>
    <s v="In-Store"/>
    <s v="Debit Card"/>
    <n v="1"/>
    <n v="337.13"/>
    <x v="860"/>
    <n v="54.04"/>
  </r>
  <r>
    <s v="ORD0862"/>
    <x v="245"/>
    <s v="Water Bottle"/>
    <x v="2"/>
    <x v="3"/>
    <s v="In-Store"/>
    <s v="Debit Card"/>
    <n v="2"/>
    <n v="372.63"/>
    <x v="861"/>
    <n v="280.7"/>
  </r>
  <r>
    <s v="ORD0863"/>
    <x v="315"/>
    <s v="Pen Pack"/>
    <x v="3"/>
    <x v="1"/>
    <s v="Online"/>
    <s v="Credit Card"/>
    <n v="1"/>
    <n v="129.86000000000001"/>
    <x v="862"/>
    <n v="45.89"/>
  </r>
  <r>
    <s v="ORD0864"/>
    <x v="133"/>
    <s v="Monitor"/>
    <x v="0"/>
    <x v="3"/>
    <s v="Online"/>
    <s v="Cash"/>
    <n v="2"/>
    <n v="13085.99"/>
    <x v="863"/>
    <n v="4188.09"/>
  </r>
  <r>
    <s v="ORD0865"/>
    <x v="134"/>
    <s v="Smartphone"/>
    <x v="0"/>
    <x v="4"/>
    <s v="In-Store"/>
    <s v="Debit Card"/>
    <n v="1"/>
    <n v="16672.439999999999"/>
    <x v="864"/>
    <n v="6260.19"/>
  </r>
  <r>
    <s v="ORD0866"/>
    <x v="114"/>
    <s v="Backpack"/>
    <x v="2"/>
    <x v="4"/>
    <s v="Online"/>
    <s v="Debit Card"/>
    <n v="4"/>
    <n v="1223.44"/>
    <x v="865"/>
    <n v="888.05"/>
  </r>
  <r>
    <s v="ORD0867"/>
    <x v="267"/>
    <s v="Mouse"/>
    <x v="0"/>
    <x v="1"/>
    <s v="Online"/>
    <s v="Debit Card"/>
    <n v="3"/>
    <n v="472.24"/>
    <x v="866"/>
    <n v="222.75"/>
  </r>
  <r>
    <s v="ORD0868"/>
    <x v="100"/>
    <s v="Office Chair"/>
    <x v="1"/>
    <x v="0"/>
    <s v="Online"/>
    <s v="UPI"/>
    <n v="1"/>
    <n v="5952.19"/>
    <x v="867"/>
    <n v="1192.74"/>
  </r>
  <r>
    <s v="ORD0869"/>
    <x v="169"/>
    <s v="Pen Pack"/>
    <x v="3"/>
    <x v="3"/>
    <s v="Online"/>
    <s v="Cash"/>
    <n v="1"/>
    <n v="110.59"/>
    <x v="868"/>
    <n v="19.22"/>
  </r>
  <r>
    <s v="ORD0870"/>
    <x v="196"/>
    <s v="Desk"/>
    <x v="1"/>
    <x v="0"/>
    <s v="Online"/>
    <s v="Net Banking"/>
    <n v="1"/>
    <n v="8642.9599999999991"/>
    <x v="869"/>
    <n v="3261.24"/>
  </r>
  <r>
    <s v="ORD0871"/>
    <x v="119"/>
    <s v="Monitor"/>
    <x v="0"/>
    <x v="0"/>
    <s v="Online"/>
    <s v="Debit Card"/>
    <n v="4"/>
    <n v="11243.48"/>
    <x v="870"/>
    <n v="12979.53"/>
  </r>
  <r>
    <s v="ORD0872"/>
    <x v="308"/>
    <s v="Notebook"/>
    <x v="3"/>
    <x v="3"/>
    <s v="Online"/>
    <s v="Net Banking"/>
    <n v="1"/>
    <n v="85.68"/>
    <x v="871"/>
    <n v="15.16"/>
  </r>
  <r>
    <s v="ORD0873"/>
    <x v="329"/>
    <s v="Smartphone"/>
    <x v="0"/>
    <x v="1"/>
    <s v="Online"/>
    <s v="Debit Card"/>
    <n v="1"/>
    <n v="18281.28"/>
    <x v="872"/>
    <n v="6880.42"/>
  </r>
  <r>
    <s v="ORD0874"/>
    <x v="322"/>
    <s v="Water Bottle"/>
    <x v="2"/>
    <x v="3"/>
    <s v="In-Store"/>
    <s v="Debit Card"/>
    <n v="1"/>
    <n v="365.77"/>
    <x v="873"/>
    <n v="51.1"/>
  </r>
  <r>
    <s v="ORD0875"/>
    <x v="295"/>
    <s v="Monitor"/>
    <x v="0"/>
    <x v="4"/>
    <s v="In-Store"/>
    <s v="Cash"/>
    <n v="1"/>
    <n v="12416.46"/>
    <x v="874"/>
    <n v="4371.78"/>
  </r>
  <r>
    <s v="ORD0876"/>
    <x v="231"/>
    <s v="Water Bottle"/>
    <x v="2"/>
    <x v="0"/>
    <s v="In-Store"/>
    <s v="UPI"/>
    <n v="1"/>
    <n v="322.89999999999998"/>
    <x v="875"/>
    <n v="40.04"/>
  </r>
  <r>
    <s v="ORD0877"/>
    <x v="278"/>
    <s v="Headphones"/>
    <x v="0"/>
    <x v="0"/>
    <s v="Online"/>
    <s v="Debit Card"/>
    <n v="2"/>
    <n v="1750.05"/>
    <x v="876"/>
    <n v="1067.7"/>
  </r>
  <r>
    <s v="ORD0878"/>
    <x v="238"/>
    <s v="Smartphone"/>
    <x v="0"/>
    <x v="2"/>
    <s v="Online"/>
    <s v="Net Banking"/>
    <n v="1"/>
    <n v="17845"/>
    <x v="877"/>
    <n v="3365.47"/>
  </r>
  <r>
    <s v="ORD0879"/>
    <x v="43"/>
    <s v="Desk"/>
    <x v="1"/>
    <x v="2"/>
    <s v="In-Store"/>
    <s v="Credit Card"/>
    <n v="5"/>
    <n v="8870.33"/>
    <x v="878"/>
    <n v="6973.8"/>
  </r>
  <r>
    <s v="ORD0880"/>
    <x v="274"/>
    <s v="Keyboard"/>
    <x v="0"/>
    <x v="0"/>
    <s v="Online"/>
    <s v="Credit Card"/>
    <n v="2"/>
    <n v="828.93"/>
    <x v="879"/>
    <n v="441.16"/>
  </r>
  <r>
    <s v="ORD0881"/>
    <x v="10"/>
    <s v="Pen Pack"/>
    <x v="3"/>
    <x v="1"/>
    <s v="Online"/>
    <s v="Debit Card"/>
    <n v="2"/>
    <n v="131.46"/>
    <x v="880"/>
    <n v="49.23"/>
  </r>
  <r>
    <s v="ORD0882"/>
    <x v="54"/>
    <s v="Notebook"/>
    <x v="3"/>
    <x v="1"/>
    <s v="In-Store"/>
    <s v="Cash"/>
    <n v="1"/>
    <n v="85.5"/>
    <x v="881"/>
    <n v="23.5"/>
  </r>
  <r>
    <s v="ORD0883"/>
    <x v="3"/>
    <s v="Mouse"/>
    <x v="0"/>
    <x v="2"/>
    <s v="In-Store"/>
    <s v="Cash"/>
    <n v="3"/>
    <n v="509.36"/>
    <x v="882"/>
    <n v="280.19"/>
  </r>
  <r>
    <s v="ORD0884"/>
    <x v="237"/>
    <s v="Monitor"/>
    <x v="0"/>
    <x v="1"/>
    <s v="In-Store"/>
    <s v="UPI"/>
    <n v="5"/>
    <n v="13170.06"/>
    <x v="883"/>
    <n v="16267.15"/>
  </r>
  <r>
    <s v="ORD0885"/>
    <x v="330"/>
    <s v="Desk"/>
    <x v="1"/>
    <x v="0"/>
    <s v="Online"/>
    <s v="UPI"/>
    <n v="2"/>
    <n v="8515.48"/>
    <x v="884"/>
    <n v="2298.7600000000002"/>
  </r>
  <r>
    <s v="ORD0886"/>
    <x v="304"/>
    <s v="Backpack"/>
    <x v="2"/>
    <x v="4"/>
    <s v="Online"/>
    <s v="Debit Card"/>
    <n v="2"/>
    <n v="1313.3"/>
    <x v="885"/>
    <n v="736.8"/>
  </r>
  <r>
    <s v="ORD0887"/>
    <x v="331"/>
    <s v="Monitor"/>
    <x v="0"/>
    <x v="2"/>
    <s v="In-Store"/>
    <s v="Credit Card"/>
    <n v="1"/>
    <n v="10983.64"/>
    <x v="886"/>
    <n v="2027.38"/>
  </r>
  <r>
    <s v="ORD0888"/>
    <x v="276"/>
    <s v="Keyboard"/>
    <x v="0"/>
    <x v="3"/>
    <s v="Online"/>
    <s v="UPI"/>
    <n v="2"/>
    <n v="900.86"/>
    <x v="887"/>
    <n v="430.55"/>
  </r>
  <r>
    <s v="ORD0889"/>
    <x v="131"/>
    <s v="Smartphone"/>
    <x v="0"/>
    <x v="2"/>
    <s v="Online"/>
    <s v="UPI"/>
    <n v="1"/>
    <n v="17332.41"/>
    <x v="888"/>
    <n v="4890.38"/>
  </r>
  <r>
    <s v="ORD0890"/>
    <x v="72"/>
    <s v="Water Bottle"/>
    <x v="2"/>
    <x v="1"/>
    <s v="In-Store"/>
    <s v="Cash"/>
    <n v="2"/>
    <n v="369.56"/>
    <x v="889"/>
    <n v="110.85"/>
  </r>
  <r>
    <s v="ORD0891"/>
    <x v="239"/>
    <s v="Desk"/>
    <x v="1"/>
    <x v="2"/>
    <s v="In-Store"/>
    <s v="Cash"/>
    <n v="3"/>
    <n v="8977.42"/>
    <x v="890"/>
    <n v="9468.32"/>
  </r>
  <r>
    <s v="ORD0892"/>
    <x v="126"/>
    <s v="Headphones"/>
    <x v="0"/>
    <x v="2"/>
    <s v="In-Store"/>
    <s v="Debit Card"/>
    <n v="2"/>
    <n v="1760.9"/>
    <x v="891"/>
    <n v="885.31"/>
  </r>
  <r>
    <s v="ORD0893"/>
    <x v="92"/>
    <s v="Laptop"/>
    <x v="0"/>
    <x v="4"/>
    <s v="Online"/>
    <s v="Debit Card"/>
    <n v="1"/>
    <n v="38178.99"/>
    <x v="892"/>
    <n v="6200.16"/>
  </r>
  <r>
    <s v="ORD0894"/>
    <x v="63"/>
    <s v="Smartphone"/>
    <x v="0"/>
    <x v="0"/>
    <s v="Online"/>
    <s v="Credit Card"/>
    <n v="2"/>
    <n v="19771"/>
    <x v="893"/>
    <n v="10790.94"/>
  </r>
  <r>
    <s v="ORD0895"/>
    <x v="263"/>
    <s v="Keyboard"/>
    <x v="0"/>
    <x v="4"/>
    <s v="Online"/>
    <s v="Debit Card"/>
    <n v="1"/>
    <n v="825.29"/>
    <x v="894"/>
    <n v="165.98"/>
  </r>
  <r>
    <s v="ORD0896"/>
    <x v="216"/>
    <s v="Laptop"/>
    <x v="0"/>
    <x v="2"/>
    <s v="In-Store"/>
    <s v="Debit Card"/>
    <n v="2"/>
    <n v="38113.97"/>
    <x v="895"/>
    <n v="15930.14"/>
  </r>
  <r>
    <s v="ORD0897"/>
    <x v="251"/>
    <s v="Mouse"/>
    <x v="0"/>
    <x v="3"/>
    <s v="In-Store"/>
    <s v="Debit Card"/>
    <n v="2"/>
    <n v="452.22"/>
    <x v="896"/>
    <n v="269.26"/>
  </r>
  <r>
    <s v="ORD0898"/>
    <x v="80"/>
    <s v="Smartphone"/>
    <x v="0"/>
    <x v="4"/>
    <s v="In-Store"/>
    <s v="Net Banking"/>
    <n v="3"/>
    <n v="16560.2"/>
    <x v="897"/>
    <n v="10158.25"/>
  </r>
  <r>
    <s v="ORD0899"/>
    <x v="237"/>
    <s v="Notebook"/>
    <x v="3"/>
    <x v="1"/>
    <s v="In-Store"/>
    <s v="UPI"/>
    <n v="1"/>
    <n v="76.790000000000006"/>
    <x v="898"/>
    <n v="9.83"/>
  </r>
  <r>
    <s v="ORD0900"/>
    <x v="78"/>
    <s v="Office Chair"/>
    <x v="1"/>
    <x v="2"/>
    <s v="Online"/>
    <s v="Net Banking"/>
    <n v="1"/>
    <n v="5911.79"/>
    <x v="899"/>
    <n v="715.21"/>
  </r>
  <r>
    <s v="ORD0901"/>
    <x v="208"/>
    <s v="Mouse"/>
    <x v="0"/>
    <x v="0"/>
    <s v="In-Store"/>
    <s v="Cash"/>
    <n v="3"/>
    <n v="459.47"/>
    <x v="900"/>
    <n v="403.08"/>
  </r>
  <r>
    <s v="ORD0902"/>
    <x v="281"/>
    <s v="Notebook"/>
    <x v="3"/>
    <x v="4"/>
    <s v="In-Store"/>
    <s v="Net Banking"/>
    <n v="3"/>
    <n v="82.42"/>
    <x v="901"/>
    <n v="74.55"/>
  </r>
  <r>
    <s v="ORD0903"/>
    <x v="49"/>
    <s v="Office Chair"/>
    <x v="1"/>
    <x v="3"/>
    <s v="Online"/>
    <s v="UPI"/>
    <n v="1"/>
    <n v="6176.64"/>
    <x v="902"/>
    <n v="1519.48"/>
  </r>
  <r>
    <s v="ORD0904"/>
    <x v="306"/>
    <s v="Mouse"/>
    <x v="0"/>
    <x v="2"/>
    <s v="In-Store"/>
    <s v="Net Banking"/>
    <n v="2"/>
    <n v="468.65"/>
    <x v="903"/>
    <n v="234.52"/>
  </r>
  <r>
    <s v="ORD0905"/>
    <x v="136"/>
    <s v="Pen Pack"/>
    <x v="3"/>
    <x v="1"/>
    <s v="In-Store"/>
    <s v="Cash"/>
    <n v="4"/>
    <n v="125.44"/>
    <x v="904"/>
    <n v="182.86"/>
  </r>
  <r>
    <s v="ORD0906"/>
    <x v="332"/>
    <s v="Office Chair"/>
    <x v="1"/>
    <x v="2"/>
    <s v="In-Store"/>
    <s v="Debit Card"/>
    <n v="1"/>
    <n v="6740.9"/>
    <x v="905"/>
    <n v="2035.27"/>
  </r>
  <r>
    <s v="ORD0907"/>
    <x v="229"/>
    <s v="Keyboard"/>
    <x v="0"/>
    <x v="1"/>
    <s v="In-Store"/>
    <s v="Net Banking"/>
    <n v="1"/>
    <n v="884.24"/>
    <x v="906"/>
    <n v="146.63999999999999"/>
  </r>
  <r>
    <s v="ORD0908"/>
    <x v="263"/>
    <s v="Pen Pack"/>
    <x v="3"/>
    <x v="4"/>
    <s v="In-Store"/>
    <s v="Cash"/>
    <n v="1"/>
    <n v="111.6"/>
    <x v="907"/>
    <n v="41.6"/>
  </r>
  <r>
    <s v="ORD0909"/>
    <x v="133"/>
    <s v="Pen Pack"/>
    <x v="3"/>
    <x v="4"/>
    <s v="Online"/>
    <s v="UPI"/>
    <n v="2"/>
    <n v="129.74"/>
    <x v="908"/>
    <n v="84.98"/>
  </r>
  <r>
    <s v="ORD0910"/>
    <x v="313"/>
    <s v="Desk"/>
    <x v="1"/>
    <x v="2"/>
    <s v="Online"/>
    <s v="UPI"/>
    <n v="2"/>
    <n v="8416.77"/>
    <x v="909"/>
    <n v="2665.5"/>
  </r>
  <r>
    <s v="ORD0911"/>
    <x v="213"/>
    <s v="Notebook"/>
    <x v="3"/>
    <x v="2"/>
    <s v="In-Store"/>
    <s v="UPI"/>
    <n v="2"/>
    <n v="85.87"/>
    <x v="910"/>
    <n v="25.05"/>
  </r>
  <r>
    <s v="ORD0912"/>
    <x v="117"/>
    <s v="Mouse"/>
    <x v="0"/>
    <x v="3"/>
    <s v="Online"/>
    <s v="Net Banking"/>
    <n v="3"/>
    <n v="473.6"/>
    <x v="911"/>
    <n v="328.98"/>
  </r>
  <r>
    <s v="ORD0913"/>
    <x v="52"/>
    <s v="Monitor"/>
    <x v="0"/>
    <x v="0"/>
    <s v="Online"/>
    <s v="Net Banking"/>
    <n v="4"/>
    <n v="13035.73"/>
    <x v="912"/>
    <n v="16400.509999999998"/>
  </r>
  <r>
    <s v="ORD0914"/>
    <x v="330"/>
    <s v="Notebook"/>
    <x v="3"/>
    <x v="1"/>
    <s v="In-Store"/>
    <s v="Credit Card"/>
    <n v="1"/>
    <n v="81.349999999999994"/>
    <x v="913"/>
    <n v="22.67"/>
  </r>
  <r>
    <s v="ORD0915"/>
    <x v="310"/>
    <s v="Smartphone"/>
    <x v="0"/>
    <x v="4"/>
    <s v="Online"/>
    <s v="Cash"/>
    <n v="1"/>
    <n v="19691.72"/>
    <x v="914"/>
    <n v="5232.8100000000004"/>
  </r>
  <r>
    <s v="ORD0916"/>
    <x v="258"/>
    <s v="Notebook"/>
    <x v="3"/>
    <x v="2"/>
    <s v="Online"/>
    <s v="Debit Card"/>
    <n v="2"/>
    <n v="73.81"/>
    <x v="915"/>
    <n v="35.15"/>
  </r>
  <r>
    <s v="ORD0917"/>
    <x v="307"/>
    <s v="Notebook"/>
    <x v="3"/>
    <x v="3"/>
    <s v="Online"/>
    <s v="UPI"/>
    <n v="2"/>
    <n v="77.88"/>
    <x v="916"/>
    <n v="46.71"/>
  </r>
  <r>
    <s v="ORD0918"/>
    <x v="182"/>
    <s v="Keyboard"/>
    <x v="0"/>
    <x v="4"/>
    <s v="Online"/>
    <s v="Net Banking"/>
    <n v="1"/>
    <n v="909.49"/>
    <x v="917"/>
    <n v="272.47000000000003"/>
  </r>
  <r>
    <s v="ORD0919"/>
    <x v="321"/>
    <s v="Backpack"/>
    <x v="2"/>
    <x v="4"/>
    <s v="In-Store"/>
    <s v="UPI"/>
    <n v="1"/>
    <n v="1298.3499999999999"/>
    <x v="918"/>
    <n v="360.72"/>
  </r>
  <r>
    <s v="ORD0920"/>
    <x v="263"/>
    <s v="Desk"/>
    <x v="1"/>
    <x v="4"/>
    <s v="In-Store"/>
    <s v="UPI"/>
    <n v="1"/>
    <n v="9702.44"/>
    <x v="919"/>
    <n v="1376.47"/>
  </r>
  <r>
    <s v="ORD0921"/>
    <x v="60"/>
    <s v="Smartphone"/>
    <x v="0"/>
    <x v="2"/>
    <s v="In-Store"/>
    <s v="Cash"/>
    <n v="3"/>
    <n v="19585.78"/>
    <x v="920"/>
    <n v="15130.97"/>
  </r>
  <r>
    <s v="ORD0922"/>
    <x v="248"/>
    <s v="Headphones"/>
    <x v="0"/>
    <x v="3"/>
    <s v="In-Store"/>
    <s v="Cash"/>
    <n v="2"/>
    <n v="1802.28"/>
    <x v="921"/>
    <n v="1039.98"/>
  </r>
  <r>
    <s v="ORD0923"/>
    <x v="219"/>
    <s v="Laptop"/>
    <x v="0"/>
    <x v="2"/>
    <s v="Online"/>
    <s v="UPI"/>
    <n v="3"/>
    <n v="43187.53"/>
    <x v="922"/>
    <n v="43044.28"/>
  </r>
  <r>
    <s v="ORD0924"/>
    <x v="176"/>
    <s v="Office Chair"/>
    <x v="1"/>
    <x v="1"/>
    <s v="Online"/>
    <s v="Net Banking"/>
    <n v="2"/>
    <n v="6257.84"/>
    <x v="923"/>
    <n v="4488.37"/>
  </r>
  <r>
    <s v="ORD0925"/>
    <x v="150"/>
    <s v="Headphones"/>
    <x v="0"/>
    <x v="4"/>
    <s v="In-Store"/>
    <s v="Cash"/>
    <n v="3"/>
    <n v="1866.87"/>
    <x v="924"/>
    <n v="974.02"/>
  </r>
  <r>
    <s v="ORD0926"/>
    <x v="239"/>
    <s v="Desk"/>
    <x v="1"/>
    <x v="4"/>
    <s v="Online"/>
    <s v="UPI"/>
    <n v="1"/>
    <n v="9167.44"/>
    <x v="925"/>
    <n v="2702.83"/>
  </r>
  <r>
    <s v="ORD0927"/>
    <x v="226"/>
    <s v="Notebook"/>
    <x v="3"/>
    <x v="3"/>
    <s v="Online"/>
    <s v="UPI"/>
    <n v="1"/>
    <n v="86.02"/>
    <x v="926"/>
    <n v="11.56"/>
  </r>
  <r>
    <s v="ORD0928"/>
    <x v="242"/>
    <s v="Water Bottle"/>
    <x v="2"/>
    <x v="2"/>
    <s v="Online"/>
    <s v="Debit Card"/>
    <n v="2"/>
    <n v="358.86"/>
    <x v="927"/>
    <n v="103.51"/>
  </r>
  <r>
    <s v="ORD0929"/>
    <x v="45"/>
    <s v="Headphones"/>
    <x v="0"/>
    <x v="1"/>
    <s v="Online"/>
    <s v="Debit Card"/>
    <n v="1"/>
    <n v="1842.48"/>
    <x v="928"/>
    <n v="412.53"/>
  </r>
  <r>
    <s v="ORD0930"/>
    <x v="322"/>
    <s v="Monitor"/>
    <x v="0"/>
    <x v="2"/>
    <s v="In-Store"/>
    <s v="UPI"/>
    <n v="1"/>
    <n v="12524.6"/>
    <x v="929"/>
    <n v="3342.3"/>
  </r>
  <r>
    <s v="ORD0931"/>
    <x v="162"/>
    <s v="Mouse"/>
    <x v="0"/>
    <x v="4"/>
    <s v="In-Store"/>
    <s v="Cash"/>
    <n v="1"/>
    <n v="544.61"/>
    <x v="930"/>
    <n v="91.77"/>
  </r>
  <r>
    <s v="ORD0932"/>
    <x v="13"/>
    <s v="Headphones"/>
    <x v="0"/>
    <x v="4"/>
    <s v="Online"/>
    <s v="Cash"/>
    <n v="2"/>
    <n v="1694.38"/>
    <x v="931"/>
    <n v="1097.8"/>
  </r>
  <r>
    <s v="ORD0933"/>
    <x v="257"/>
    <s v="Pen Pack"/>
    <x v="3"/>
    <x v="1"/>
    <s v="In-Store"/>
    <s v="Credit Card"/>
    <n v="3"/>
    <n v="108.69"/>
    <x v="932"/>
    <n v="41.15"/>
  </r>
  <r>
    <s v="ORD0934"/>
    <x v="246"/>
    <s v="Monitor"/>
    <x v="0"/>
    <x v="1"/>
    <s v="In-Store"/>
    <s v="Cash"/>
    <n v="2"/>
    <n v="11899.59"/>
    <x v="933"/>
    <n v="8979.83"/>
  </r>
  <r>
    <s v="ORD0935"/>
    <x v="86"/>
    <s v="Office Chair"/>
    <x v="1"/>
    <x v="4"/>
    <s v="Online"/>
    <s v="UPI"/>
    <n v="3"/>
    <n v="6770.99"/>
    <x v="934"/>
    <n v="3831.29"/>
  </r>
  <r>
    <s v="ORD0936"/>
    <x v="333"/>
    <s v="Laptop"/>
    <x v="0"/>
    <x v="4"/>
    <s v="Online"/>
    <s v="UPI"/>
    <n v="1"/>
    <n v="45620.94"/>
    <x v="935"/>
    <n v="11750.02"/>
  </r>
  <r>
    <s v="ORD0937"/>
    <x v="252"/>
    <s v="Water Bottle"/>
    <x v="2"/>
    <x v="4"/>
    <s v="Online"/>
    <s v="Net Banking"/>
    <n v="2"/>
    <n v="336.18"/>
    <x v="936"/>
    <n v="186.5"/>
  </r>
  <r>
    <s v="ORD0938"/>
    <x v="70"/>
    <s v="Monitor"/>
    <x v="0"/>
    <x v="4"/>
    <s v="In-Store"/>
    <s v="Credit Card"/>
    <n v="1"/>
    <n v="11207.68"/>
    <x v="937"/>
    <n v="2822.78"/>
  </r>
  <r>
    <s v="ORD0939"/>
    <x v="334"/>
    <s v="Notebook"/>
    <x v="3"/>
    <x v="4"/>
    <s v="Online"/>
    <s v="Credit Card"/>
    <n v="3"/>
    <n v="78.930000000000007"/>
    <x v="938"/>
    <n v="73.95"/>
  </r>
  <r>
    <s v="ORD0940"/>
    <x v="209"/>
    <s v="Desk"/>
    <x v="1"/>
    <x v="4"/>
    <s v="In-Store"/>
    <s v="Net Banking"/>
    <n v="3"/>
    <n v="9767.23"/>
    <x v="939"/>
    <n v="8979.19"/>
  </r>
  <r>
    <s v="ORD0941"/>
    <x v="49"/>
    <s v="Pen Pack"/>
    <x v="3"/>
    <x v="1"/>
    <s v="In-Store"/>
    <s v="UPI"/>
    <n v="4"/>
    <n v="115.57"/>
    <x v="940"/>
    <n v="56.13"/>
  </r>
  <r>
    <s v="ORD0942"/>
    <x v="99"/>
    <s v="Headphones"/>
    <x v="0"/>
    <x v="1"/>
    <s v="In-Store"/>
    <s v="Cash"/>
    <n v="1"/>
    <n v="1685.93"/>
    <x v="941"/>
    <n v="434.52"/>
  </r>
  <r>
    <s v="ORD0943"/>
    <x v="292"/>
    <s v="Backpack"/>
    <x v="2"/>
    <x v="2"/>
    <s v="In-Store"/>
    <s v="Cash"/>
    <n v="1"/>
    <n v="1165.56"/>
    <x v="942"/>
    <n v="228.04"/>
  </r>
  <r>
    <s v="ORD0944"/>
    <x v="335"/>
    <s v="Mouse"/>
    <x v="0"/>
    <x v="4"/>
    <s v="Online"/>
    <s v="Credit Card"/>
    <n v="4"/>
    <n v="462.37"/>
    <x v="943"/>
    <n v="657.8"/>
  </r>
  <r>
    <s v="ORD0945"/>
    <x v="142"/>
    <s v="Desk"/>
    <x v="1"/>
    <x v="0"/>
    <s v="Online"/>
    <s v="Cash"/>
    <n v="2"/>
    <n v="9293.65"/>
    <x v="944"/>
    <n v="6036.73"/>
  </r>
  <r>
    <s v="ORD0946"/>
    <x v="211"/>
    <s v="Office Chair"/>
    <x v="1"/>
    <x v="0"/>
    <s v="In-Store"/>
    <s v="UPI"/>
    <n v="3"/>
    <n v="6729.98"/>
    <x v="945"/>
    <n v="3014.04"/>
  </r>
  <r>
    <s v="ORD0947"/>
    <x v="177"/>
    <s v="Notebook"/>
    <x v="3"/>
    <x v="1"/>
    <s v="Online"/>
    <s v="UPI"/>
    <n v="2"/>
    <n v="87.22"/>
    <x v="946"/>
    <n v="28.33"/>
  </r>
  <r>
    <s v="ORD0948"/>
    <x v="134"/>
    <s v="Mouse"/>
    <x v="0"/>
    <x v="3"/>
    <s v="Online"/>
    <s v="Debit Card"/>
    <n v="2"/>
    <n v="495.41"/>
    <x v="947"/>
    <n v="130.44"/>
  </r>
  <r>
    <s v="ORD0949"/>
    <x v="50"/>
    <s v="Keyboard"/>
    <x v="0"/>
    <x v="3"/>
    <s v="Online"/>
    <s v="Credit Card"/>
    <n v="2"/>
    <n v="891.56"/>
    <x v="948"/>
    <n v="238.35"/>
  </r>
  <r>
    <s v="ORD0950"/>
    <x v="12"/>
    <s v="Keyboard"/>
    <x v="0"/>
    <x v="3"/>
    <s v="In-Store"/>
    <s v="UPI"/>
    <n v="1"/>
    <n v="953.67"/>
    <x v="949"/>
    <n v="177.97"/>
  </r>
  <r>
    <s v="ORD0951"/>
    <x v="294"/>
    <s v="Desk"/>
    <x v="1"/>
    <x v="0"/>
    <s v="Online"/>
    <s v="Credit Card"/>
    <n v="1"/>
    <n v="9837.09"/>
    <x v="950"/>
    <n v="1524.41"/>
  </r>
  <r>
    <s v="ORD0952"/>
    <x v="250"/>
    <s v="Pen Pack"/>
    <x v="3"/>
    <x v="1"/>
    <s v="Online"/>
    <s v="Debit Card"/>
    <n v="3"/>
    <n v="114.84"/>
    <x v="951"/>
    <n v="63.51"/>
  </r>
  <r>
    <s v="ORD0953"/>
    <x v="123"/>
    <s v="Pen Pack"/>
    <x v="3"/>
    <x v="3"/>
    <s v="Online"/>
    <s v="Debit Card"/>
    <n v="3"/>
    <n v="130.12"/>
    <x v="952"/>
    <n v="56.61"/>
  </r>
  <r>
    <s v="ORD0954"/>
    <x v="52"/>
    <s v="Smartphone"/>
    <x v="0"/>
    <x v="2"/>
    <s v="In-Store"/>
    <s v="Debit Card"/>
    <n v="3"/>
    <n v="18045.55"/>
    <x v="953"/>
    <n v="13680.22"/>
  </r>
  <r>
    <s v="ORD0955"/>
    <x v="82"/>
    <s v="Monitor"/>
    <x v="0"/>
    <x v="3"/>
    <s v="Online"/>
    <s v="Cash"/>
    <n v="2"/>
    <n v="12615.58"/>
    <x v="954"/>
    <n v="4267.6400000000003"/>
  </r>
  <r>
    <s v="ORD0956"/>
    <x v="55"/>
    <s v="Pen Pack"/>
    <x v="3"/>
    <x v="1"/>
    <s v="Online"/>
    <s v="Cash"/>
    <n v="1"/>
    <n v="120.32"/>
    <x v="955"/>
    <n v="15.27"/>
  </r>
  <r>
    <s v="ORD0957"/>
    <x v="153"/>
    <s v="Keyboard"/>
    <x v="0"/>
    <x v="0"/>
    <s v="In-Store"/>
    <s v="Debit Card"/>
    <n v="2"/>
    <n v="825.11"/>
    <x v="956"/>
    <n v="426.19"/>
  </r>
  <r>
    <s v="ORD0958"/>
    <x v="207"/>
    <s v="Headphones"/>
    <x v="0"/>
    <x v="2"/>
    <s v="In-Store"/>
    <s v="Net Banking"/>
    <n v="2"/>
    <n v="1728.15"/>
    <x v="957"/>
    <n v="1089.94"/>
  </r>
  <r>
    <s v="ORD0959"/>
    <x v="12"/>
    <s v="Water Bottle"/>
    <x v="2"/>
    <x v="2"/>
    <s v="In-Store"/>
    <s v="UPI"/>
    <n v="1"/>
    <n v="318.16000000000003"/>
    <x v="958"/>
    <n v="112"/>
  </r>
  <r>
    <s v="ORD0960"/>
    <x v="336"/>
    <s v="Keyboard"/>
    <x v="0"/>
    <x v="3"/>
    <s v="Online"/>
    <s v="Net Banking"/>
    <n v="3"/>
    <n v="956.31"/>
    <x v="959"/>
    <n v="825.05"/>
  </r>
  <r>
    <s v="ORD0961"/>
    <x v="206"/>
    <s v="Smartphone"/>
    <x v="0"/>
    <x v="2"/>
    <s v="Online"/>
    <s v="UPI"/>
    <n v="3"/>
    <n v="17866.36"/>
    <x v="960"/>
    <n v="9411.67"/>
  </r>
  <r>
    <s v="ORD0962"/>
    <x v="167"/>
    <s v="Mouse"/>
    <x v="0"/>
    <x v="2"/>
    <s v="In-Store"/>
    <s v="Debit Card"/>
    <n v="1"/>
    <n v="508.72"/>
    <x v="961"/>
    <n v="133.13"/>
  </r>
  <r>
    <s v="ORD0963"/>
    <x v="160"/>
    <s v="Office Chair"/>
    <x v="1"/>
    <x v="0"/>
    <s v="In-Store"/>
    <s v="Net Banking"/>
    <n v="1"/>
    <n v="6821.14"/>
    <x v="962"/>
    <n v="1520.75"/>
  </r>
  <r>
    <s v="ORD0964"/>
    <x v="17"/>
    <s v="Laptop"/>
    <x v="0"/>
    <x v="2"/>
    <s v="In-Store"/>
    <s v="Net Banking"/>
    <n v="1"/>
    <n v="37911.760000000002"/>
    <x v="963"/>
    <n v="7942.2"/>
  </r>
  <r>
    <s v="ORD0965"/>
    <x v="75"/>
    <s v="Desk"/>
    <x v="1"/>
    <x v="2"/>
    <s v="In-Store"/>
    <s v="UPI"/>
    <n v="2"/>
    <n v="9853.06"/>
    <x v="964"/>
    <n v="5640.1"/>
  </r>
  <r>
    <s v="ORD0966"/>
    <x v="100"/>
    <s v="Headphones"/>
    <x v="0"/>
    <x v="1"/>
    <s v="Online"/>
    <s v="Credit Card"/>
    <n v="1"/>
    <n v="1660.29"/>
    <x v="965"/>
    <n v="624.04999999999995"/>
  </r>
  <r>
    <s v="ORD0967"/>
    <x v="289"/>
    <s v="Keyboard"/>
    <x v="0"/>
    <x v="3"/>
    <s v="Online"/>
    <s v="UPI"/>
    <n v="1"/>
    <n v="853.52"/>
    <x v="966"/>
    <n v="137.47"/>
  </r>
  <r>
    <s v="ORD0968"/>
    <x v="107"/>
    <s v="Backpack"/>
    <x v="2"/>
    <x v="1"/>
    <s v="In-Store"/>
    <s v="Cash"/>
    <n v="1"/>
    <n v="1181.25"/>
    <x v="967"/>
    <n v="413.11"/>
  </r>
  <r>
    <s v="ORD0969"/>
    <x v="184"/>
    <s v="Laptop"/>
    <x v="0"/>
    <x v="3"/>
    <s v="In-Store"/>
    <s v="UPI"/>
    <n v="3"/>
    <n v="42715.9"/>
    <x v="968"/>
    <n v="41987.85"/>
  </r>
  <r>
    <s v="ORD0970"/>
    <x v="337"/>
    <s v="Laptop"/>
    <x v="0"/>
    <x v="2"/>
    <s v="In-Store"/>
    <s v="Net Banking"/>
    <n v="1"/>
    <n v="44920.09"/>
    <x v="969"/>
    <n v="12026.69"/>
  </r>
  <r>
    <s v="ORD0971"/>
    <x v="120"/>
    <s v="Mouse"/>
    <x v="0"/>
    <x v="2"/>
    <s v="In-Store"/>
    <s v="Credit Card"/>
    <n v="2"/>
    <n v="479.08"/>
    <x v="970"/>
    <n v="242.65"/>
  </r>
  <r>
    <s v="ORD0972"/>
    <x v="338"/>
    <s v="Water Bottle"/>
    <x v="2"/>
    <x v="4"/>
    <s v="In-Store"/>
    <s v="Cash"/>
    <n v="1"/>
    <n v="355.35"/>
    <x v="971"/>
    <n v="83.92"/>
  </r>
  <r>
    <s v="ORD0973"/>
    <x v="292"/>
    <s v="Backpack"/>
    <x v="2"/>
    <x v="2"/>
    <s v="Online"/>
    <s v="Credit Card"/>
    <n v="2"/>
    <n v="1235.08"/>
    <x v="972"/>
    <n v="650.73"/>
  </r>
  <r>
    <s v="ORD0974"/>
    <x v="152"/>
    <s v="Mouse"/>
    <x v="0"/>
    <x v="1"/>
    <s v="In-Store"/>
    <s v="Net Banking"/>
    <n v="1"/>
    <n v="484.38"/>
    <x v="973"/>
    <n v="154.83000000000001"/>
  </r>
  <r>
    <s v="ORD0975"/>
    <x v="128"/>
    <s v="Backpack"/>
    <x v="2"/>
    <x v="2"/>
    <s v="In-Store"/>
    <s v="Cash"/>
    <n v="1"/>
    <n v="1150.4100000000001"/>
    <x v="974"/>
    <n v="224.38"/>
  </r>
  <r>
    <s v="ORD0976"/>
    <x v="40"/>
    <s v="Monitor"/>
    <x v="0"/>
    <x v="2"/>
    <s v="Online"/>
    <s v="Credit Card"/>
    <n v="1"/>
    <n v="12457.67"/>
    <x v="975"/>
    <n v="4454.74"/>
  </r>
  <r>
    <s v="ORD0977"/>
    <x v="66"/>
    <s v="Headphones"/>
    <x v="0"/>
    <x v="2"/>
    <s v="In-Store"/>
    <s v="Credit Card"/>
    <n v="2"/>
    <n v="1656.33"/>
    <x v="976"/>
    <n v="900.53"/>
  </r>
  <r>
    <s v="ORD0978"/>
    <x v="281"/>
    <s v="Water Bottle"/>
    <x v="2"/>
    <x v="4"/>
    <s v="Online"/>
    <s v="Credit Card"/>
    <n v="1"/>
    <n v="316.27"/>
    <x v="977"/>
    <n v="47.75"/>
  </r>
  <r>
    <s v="ORD0979"/>
    <x v="149"/>
    <s v="Laptop"/>
    <x v="0"/>
    <x v="1"/>
    <s v="Online"/>
    <s v="Net Banking"/>
    <n v="3"/>
    <n v="40636.97"/>
    <x v="978"/>
    <n v="42713.68"/>
  </r>
  <r>
    <s v="ORD0980"/>
    <x v="162"/>
    <s v="Backpack"/>
    <x v="2"/>
    <x v="0"/>
    <s v="In-Store"/>
    <s v="Credit Card"/>
    <n v="1"/>
    <n v="1161.68"/>
    <x v="979"/>
    <n v="334.14"/>
  </r>
  <r>
    <s v="ORD0981"/>
    <x v="182"/>
    <s v="Water Bottle"/>
    <x v="2"/>
    <x v="2"/>
    <s v="In-Store"/>
    <s v="UPI"/>
    <n v="2"/>
    <n v="322.29000000000002"/>
    <x v="980"/>
    <n v="236.49"/>
  </r>
  <r>
    <s v="ORD0982"/>
    <x v="56"/>
    <s v="Monitor"/>
    <x v="0"/>
    <x v="3"/>
    <s v="Online"/>
    <s v="Net Banking"/>
    <n v="2"/>
    <n v="12860.13"/>
    <x v="981"/>
    <n v="9092.48"/>
  </r>
  <r>
    <s v="ORD0983"/>
    <x v="272"/>
    <s v="Headphones"/>
    <x v="0"/>
    <x v="1"/>
    <s v="In-Store"/>
    <s v="Cash"/>
    <n v="2"/>
    <n v="1933.51"/>
    <x v="982"/>
    <n v="553.54"/>
  </r>
  <r>
    <s v="ORD0984"/>
    <x v="97"/>
    <s v="Backpack"/>
    <x v="2"/>
    <x v="4"/>
    <s v="Online"/>
    <s v="UPI"/>
    <n v="3"/>
    <n v="1103.83"/>
    <x v="983"/>
    <n v="701.23"/>
  </r>
  <r>
    <s v="ORD0985"/>
    <x v="183"/>
    <s v="Backpack"/>
    <x v="2"/>
    <x v="2"/>
    <s v="In-Store"/>
    <s v="Debit Card"/>
    <n v="5"/>
    <n v="1264.6099999999999"/>
    <x v="984"/>
    <n v="2391.9299999999998"/>
  </r>
  <r>
    <s v="ORD0986"/>
    <x v="124"/>
    <s v="Headphones"/>
    <x v="0"/>
    <x v="4"/>
    <s v="Online"/>
    <s v="Credit Card"/>
    <n v="1"/>
    <n v="1754.08"/>
    <x v="985"/>
    <n v="322.3"/>
  </r>
  <r>
    <s v="ORD0987"/>
    <x v="130"/>
    <s v="Pen Pack"/>
    <x v="3"/>
    <x v="2"/>
    <s v="In-Store"/>
    <s v="Net Banking"/>
    <n v="3"/>
    <n v="111.31"/>
    <x v="986"/>
    <n v="89.66"/>
  </r>
  <r>
    <s v="ORD0988"/>
    <x v="279"/>
    <s v="Notebook"/>
    <x v="3"/>
    <x v="3"/>
    <s v="Online"/>
    <s v="UPI"/>
    <n v="4"/>
    <n v="79.08"/>
    <x v="987"/>
    <n v="56.86"/>
  </r>
  <r>
    <s v="ORD0989"/>
    <x v="270"/>
    <s v="Notebook"/>
    <x v="3"/>
    <x v="2"/>
    <s v="Online"/>
    <s v="Credit Card"/>
    <n v="1"/>
    <n v="84.36"/>
    <x v="988"/>
    <n v="22.54"/>
  </r>
  <r>
    <s v="ORD0990"/>
    <x v="291"/>
    <s v="Laptop"/>
    <x v="0"/>
    <x v="3"/>
    <s v="In-Store"/>
    <s v="Cash"/>
    <n v="5"/>
    <n v="46032.4"/>
    <x v="989"/>
    <n v="39643.47"/>
  </r>
  <r>
    <s v="ORD0991"/>
    <x v="176"/>
    <s v="Keyboard"/>
    <x v="0"/>
    <x v="4"/>
    <s v="In-Store"/>
    <s v="UPI"/>
    <n v="3"/>
    <n v="967.24"/>
    <x v="990"/>
    <n v="558.28"/>
  </r>
  <r>
    <s v="ORD0992"/>
    <x v="316"/>
    <s v="Water Bottle"/>
    <x v="2"/>
    <x v="1"/>
    <s v="In-Store"/>
    <s v="Debit Card"/>
    <n v="2"/>
    <n v="325.27999999999997"/>
    <x v="991"/>
    <n v="178.89"/>
  </r>
  <r>
    <s v="ORD0993"/>
    <x v="150"/>
    <s v="Pen Pack"/>
    <x v="3"/>
    <x v="3"/>
    <s v="In-Store"/>
    <s v="Cash"/>
    <n v="3"/>
    <n v="129.13999999999999"/>
    <x v="992"/>
    <n v="138.72999999999999"/>
  </r>
  <r>
    <s v="ORD0994"/>
    <x v="100"/>
    <s v="Water Bottle"/>
    <x v="2"/>
    <x v="3"/>
    <s v="In-Store"/>
    <s v="Net Banking"/>
    <n v="5"/>
    <n v="334.87"/>
    <x v="993"/>
    <n v="595.85"/>
  </r>
  <r>
    <s v="ORD0995"/>
    <x v="339"/>
    <s v="Keyboard"/>
    <x v="0"/>
    <x v="3"/>
    <s v="In-Store"/>
    <s v="Credit Card"/>
    <n v="1"/>
    <n v="815.02"/>
    <x v="994"/>
    <n v="140.9"/>
  </r>
  <r>
    <s v="ORD0996"/>
    <x v="298"/>
    <s v="Mouse"/>
    <x v="0"/>
    <x v="4"/>
    <s v="In-Store"/>
    <s v="Net Banking"/>
    <n v="2"/>
    <n v="500.53"/>
    <x v="995"/>
    <n v="189.88"/>
  </r>
  <r>
    <s v="ORD0997"/>
    <x v="215"/>
    <s v="Smartphone"/>
    <x v="0"/>
    <x v="4"/>
    <s v="Online"/>
    <s v="Cash"/>
    <n v="1"/>
    <n v="18543.46"/>
    <x v="996"/>
    <n v="6445.06"/>
  </r>
  <r>
    <s v="ORD0998"/>
    <x v="270"/>
    <s v="Office Chair"/>
    <x v="1"/>
    <x v="3"/>
    <s v="Online"/>
    <s v="Debit Card"/>
    <n v="3"/>
    <n v="7135.7"/>
    <x v="997"/>
    <n v="4986.67"/>
  </r>
  <r>
    <s v="ORD0999"/>
    <x v="37"/>
    <s v="Desk"/>
    <x v="1"/>
    <x v="1"/>
    <s v="In-Store"/>
    <s v="Net Banking"/>
    <n v="2"/>
    <n v="9567.14"/>
    <x v="998"/>
    <n v="4421.57"/>
  </r>
  <r>
    <s v="ORD1000"/>
    <x v="171"/>
    <s v="Smartphone"/>
    <x v="0"/>
    <x v="4"/>
    <s v="In-Store"/>
    <s v="UPI"/>
    <n v="1"/>
    <n v="18296.53"/>
    <x v="999"/>
    <n v="3038.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2BF69A-2EB5-4EF7-9CC3-7E14B7F0F1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4:B6" firstHeaderRow="1" firstDataRow="1" firstDataCol="1"/>
  <pivotFields count="13">
    <pivotField showAll="0"/>
    <pivotField numFmtId="14" showAll="0">
      <items count="341">
        <item x="53"/>
        <item x="28"/>
        <item x="129"/>
        <item x="175"/>
        <item x="76"/>
        <item x="274"/>
        <item x="188"/>
        <item x="206"/>
        <item x="17"/>
        <item x="251"/>
        <item x="242"/>
        <item x="44"/>
        <item x="267"/>
        <item x="314"/>
        <item x="179"/>
        <item x="317"/>
        <item x="155"/>
        <item x="301"/>
        <item x="277"/>
        <item x="70"/>
        <item x="50"/>
        <item x="6"/>
        <item x="12"/>
        <item x="30"/>
        <item x="39"/>
        <item x="24"/>
        <item x="201"/>
        <item x="195"/>
        <item x="338"/>
        <item x="229"/>
        <item x="304"/>
        <item x="31"/>
        <item x="303"/>
        <item x="34"/>
        <item x="69"/>
        <item x="211"/>
        <item x="105"/>
        <item x="190"/>
        <item x="213"/>
        <item x="125"/>
        <item x="214"/>
        <item x="334"/>
        <item x="148"/>
        <item x="208"/>
        <item x="245"/>
        <item x="203"/>
        <item x="248"/>
        <item x="254"/>
        <item x="272"/>
        <item x="56"/>
        <item x="68"/>
        <item x="121"/>
        <item x="335"/>
        <item x="81"/>
        <item x="292"/>
        <item x="196"/>
        <item x="302"/>
        <item x="330"/>
        <item x="147"/>
        <item x="100"/>
        <item x="64"/>
        <item x="170"/>
        <item x="193"/>
        <item x="239"/>
        <item x="65"/>
        <item x="256"/>
        <item x="114"/>
        <item x="112"/>
        <item x="310"/>
        <item x="307"/>
        <item x="332"/>
        <item x="207"/>
        <item x="61"/>
        <item x="204"/>
        <item x="115"/>
        <item x="106"/>
        <item x="172"/>
        <item x="40"/>
        <item x="250"/>
        <item x="319"/>
        <item x="27"/>
        <item x="216"/>
        <item x="322"/>
        <item x="161"/>
        <item x="110"/>
        <item x="72"/>
        <item x="15"/>
        <item x="257"/>
        <item x="266"/>
        <item x="286"/>
        <item x="160"/>
        <item x="99"/>
        <item x="29"/>
        <item x="25"/>
        <item x="79"/>
        <item x="327"/>
        <item x="54"/>
        <item x="66"/>
        <item x="183"/>
        <item x="33"/>
        <item x="119"/>
        <item x="202"/>
        <item x="281"/>
        <item x="210"/>
        <item x="231"/>
        <item x="174"/>
        <item x="116"/>
        <item x="8"/>
        <item x="113"/>
        <item x="162"/>
        <item x="95"/>
        <item x="283"/>
        <item x="233"/>
        <item x="186"/>
        <item x="144"/>
        <item x="263"/>
        <item x="321"/>
        <item x="234"/>
        <item x="18"/>
        <item x="74"/>
        <item x="168"/>
        <item x="171"/>
        <item x="57"/>
        <item x="166"/>
        <item x="252"/>
        <item x="194"/>
        <item x="111"/>
        <item x="313"/>
        <item x="48"/>
        <item x="35"/>
        <item x="14"/>
        <item x="9"/>
        <item x="241"/>
        <item x="60"/>
        <item x="290"/>
        <item x="3"/>
        <item x="316"/>
        <item x="38"/>
        <item x="230"/>
        <item x="235"/>
        <item x="152"/>
        <item x="198"/>
        <item x="240"/>
        <item x="276"/>
        <item x="108"/>
        <item x="187"/>
        <item x="37"/>
        <item x="107"/>
        <item x="298"/>
        <item x="46"/>
        <item x="88"/>
        <item x="51"/>
        <item x="49"/>
        <item x="300"/>
        <item x="164"/>
        <item x="223"/>
        <item x="92"/>
        <item x="89"/>
        <item x="132"/>
        <item x="265"/>
        <item x="282"/>
        <item x="337"/>
        <item x="320"/>
        <item x="249"/>
        <item x="270"/>
        <item x="339"/>
        <item x="138"/>
        <item x="4"/>
        <item x="197"/>
        <item x="253"/>
        <item x="47"/>
        <item x="109"/>
        <item x="215"/>
        <item x="312"/>
        <item x="260"/>
        <item x="244"/>
        <item x="122"/>
        <item x="42"/>
        <item x="156"/>
        <item x="246"/>
        <item x="326"/>
        <item x="16"/>
        <item x="141"/>
        <item x="293"/>
        <item x="63"/>
        <item x="13"/>
        <item x="318"/>
        <item x="225"/>
        <item x="275"/>
        <item x="177"/>
        <item x="10"/>
        <item x="117"/>
        <item x="294"/>
        <item x="176"/>
        <item x="135"/>
        <item x="43"/>
        <item x="305"/>
        <item x="268"/>
        <item x="180"/>
        <item x="226"/>
        <item x="167"/>
        <item x="2"/>
        <item x="217"/>
        <item x="1"/>
        <item x="328"/>
        <item x="264"/>
        <item x="11"/>
        <item x="131"/>
        <item x="165"/>
        <item x="297"/>
        <item x="73"/>
        <item x="36"/>
        <item x="145"/>
        <item x="26"/>
        <item x="104"/>
        <item x="98"/>
        <item x="151"/>
        <item x="59"/>
        <item x="21"/>
        <item x="101"/>
        <item x="271"/>
        <item x="134"/>
        <item x="94"/>
        <item x="336"/>
        <item x="189"/>
        <item x="173"/>
        <item x="323"/>
        <item x="184"/>
        <item x="23"/>
        <item x="185"/>
        <item x="243"/>
        <item x="289"/>
        <item x="169"/>
        <item x="315"/>
        <item x="75"/>
        <item x="71"/>
        <item x="123"/>
        <item x="238"/>
        <item x="324"/>
        <item x="157"/>
        <item x="209"/>
        <item x="149"/>
        <item x="124"/>
        <item x="97"/>
        <item x="142"/>
        <item x="227"/>
        <item x="22"/>
        <item x="280"/>
        <item x="181"/>
        <item x="278"/>
        <item x="139"/>
        <item x="296"/>
        <item x="153"/>
        <item x="130"/>
        <item x="258"/>
        <item x="78"/>
        <item x="236"/>
        <item x="20"/>
        <item x="62"/>
        <item x="87"/>
        <item x="41"/>
        <item x="191"/>
        <item x="93"/>
        <item x="5"/>
        <item x="163"/>
        <item x="285"/>
        <item x="333"/>
        <item x="133"/>
        <item x="126"/>
        <item x="82"/>
        <item x="159"/>
        <item x="329"/>
        <item x="247"/>
        <item x="80"/>
        <item x="291"/>
        <item x="90"/>
        <item x="308"/>
        <item x="178"/>
        <item x="91"/>
        <item x="228"/>
        <item x="199"/>
        <item x="224"/>
        <item x="32"/>
        <item x="120"/>
        <item x="221"/>
        <item x="127"/>
        <item x="146"/>
        <item x="261"/>
        <item x="7"/>
        <item x="58"/>
        <item x="136"/>
        <item x="218"/>
        <item x="143"/>
        <item x="83"/>
        <item x="331"/>
        <item x="102"/>
        <item x="306"/>
        <item x="55"/>
        <item x="103"/>
        <item x="212"/>
        <item x="154"/>
        <item x="299"/>
        <item x="0"/>
        <item x="118"/>
        <item x="200"/>
        <item x="77"/>
        <item x="222"/>
        <item x="150"/>
        <item x="137"/>
        <item x="288"/>
        <item x="140"/>
        <item x="128"/>
        <item x="19"/>
        <item x="84"/>
        <item x="269"/>
        <item x="52"/>
        <item x="237"/>
        <item x="205"/>
        <item x="158"/>
        <item x="284"/>
        <item x="311"/>
        <item x="259"/>
        <item x="309"/>
        <item x="192"/>
        <item x="279"/>
        <item x="255"/>
        <item x="86"/>
        <item x="85"/>
        <item x="182"/>
        <item x="273"/>
        <item x="219"/>
        <item x="232"/>
        <item x="295"/>
        <item x="67"/>
        <item x="45"/>
        <item x="262"/>
        <item x="96"/>
        <item x="220"/>
        <item x="325"/>
        <item x="287"/>
        <item t="default"/>
      </items>
    </pivotField>
    <pivotField showAll="0"/>
    <pivotField showAll="0">
      <items count="5">
        <item x="2"/>
        <item h="1" x="0"/>
        <item h="1" x="1"/>
        <item h="1" x="3"/>
        <item t="default"/>
      </items>
    </pivotField>
    <pivotField axis="axisRow" showAll="0">
      <items count="6">
        <item h="1" x="3"/>
        <item x="4"/>
        <item h="1" x="0"/>
        <item h="1" x="1"/>
        <item h="1" x="2"/>
        <item t="default"/>
      </items>
    </pivotField>
    <pivotField showAll="0"/>
    <pivotField showAll="0"/>
    <pivotField showAll="0"/>
    <pivotField showAll="0"/>
    <pivotField dataField="1" showAll="0">
      <items count="1001">
        <item x="847"/>
        <item x="758"/>
        <item x="409"/>
        <item x="798"/>
        <item x="814"/>
        <item x="898"/>
        <item x="185"/>
        <item x="668"/>
        <item x="644"/>
        <item x="338"/>
        <item x="913"/>
        <item x="542"/>
        <item x="738"/>
        <item x="988"/>
        <item x="748"/>
        <item x="527"/>
        <item x="716"/>
        <item x="585"/>
        <item x="881"/>
        <item x="871"/>
        <item x="599"/>
        <item x="926"/>
        <item x="290"/>
        <item x="554"/>
        <item x="194"/>
        <item x="655"/>
        <item x="462"/>
        <item x="483"/>
        <item x="660"/>
        <item x="780"/>
        <item x="25"/>
        <item x="868"/>
        <item x="723"/>
        <item x="907"/>
        <item x="634"/>
        <item x="701"/>
        <item x="803"/>
        <item x="521"/>
        <item x="434"/>
        <item x="852"/>
        <item x="955"/>
        <item x="107"/>
        <item x="123"/>
        <item x="304"/>
        <item x="782"/>
        <item x="556"/>
        <item x="360"/>
        <item x="337"/>
        <item x="622"/>
        <item x="188"/>
        <item x="686"/>
        <item x="30"/>
        <item x="628"/>
        <item x="61"/>
        <item x="365"/>
        <item x="724"/>
        <item x="862"/>
        <item x="590"/>
        <item x="761"/>
        <item x="721"/>
        <item x="825"/>
        <item x="445"/>
        <item x="232"/>
        <item x="915"/>
        <item x="358"/>
        <item x="698"/>
        <item x="743"/>
        <item x="732"/>
        <item x="916"/>
        <item x="119"/>
        <item x="321"/>
        <item x="528"/>
        <item x="846"/>
        <item x="78"/>
        <item x="379"/>
        <item x="834"/>
        <item x="720"/>
        <item x="559"/>
        <item x="910"/>
        <item x="356"/>
        <item x="699"/>
        <item x="288"/>
        <item x="402"/>
        <item x="946"/>
        <item x="241"/>
        <item x="503"/>
        <item x="824"/>
        <item x="648"/>
        <item x="171"/>
        <item x="516"/>
        <item x="195"/>
        <item x="203"/>
        <item x="29"/>
        <item x="422"/>
        <item x="303"/>
        <item x="369"/>
        <item x="851"/>
        <item x="474"/>
        <item x="305"/>
        <item x="240"/>
        <item x="471"/>
        <item x="424"/>
        <item x="938"/>
        <item x="638"/>
        <item x="756"/>
        <item x="546"/>
        <item x="104"/>
        <item x="51"/>
        <item x="623"/>
        <item x="611"/>
        <item x="281"/>
        <item x="289"/>
        <item x="508"/>
        <item x="901"/>
        <item x="652"/>
        <item x="139"/>
        <item x="331"/>
        <item x="461"/>
        <item x="572"/>
        <item x="376"/>
        <item x="140"/>
        <item x="55"/>
        <item x="908"/>
        <item x="276"/>
        <item x="829"/>
        <item x="544"/>
        <item x="771"/>
        <item x="880"/>
        <item x="364"/>
        <item x="603"/>
        <item x="265"/>
        <item x="709"/>
        <item x="225"/>
        <item x="616"/>
        <item x="977"/>
        <item x="987"/>
        <item x="958"/>
        <item x="827"/>
        <item x="205"/>
        <item x="464"/>
        <item x="875"/>
        <item x="156"/>
        <item x="932"/>
        <item x="565"/>
        <item x="335"/>
        <item x="536"/>
        <item x="674"/>
        <item x="752"/>
        <item x="571"/>
        <item x="677"/>
        <item x="711"/>
        <item x="596"/>
        <item x="551"/>
        <item x="630"/>
        <item x="986"/>
        <item x="234"/>
        <item x="441"/>
        <item x="219"/>
        <item x="860"/>
        <item x="260"/>
        <item x="250"/>
        <item x="514"/>
        <item x="287"/>
        <item x="951"/>
        <item x="710"/>
        <item x="742"/>
        <item x="488"/>
        <item x="678"/>
        <item x="408"/>
        <item x="412"/>
        <item x="751"/>
        <item x="271"/>
        <item x="255"/>
        <item x="273"/>
        <item x="971"/>
        <item x="316"/>
        <item x="28"/>
        <item x="264"/>
        <item x="728"/>
        <item x="467"/>
        <item x="584"/>
        <item x="485"/>
        <item x="873"/>
        <item x="640"/>
        <item x="547"/>
        <item x="158"/>
        <item x="535"/>
        <item x="557"/>
        <item x="425"/>
        <item x="317"/>
        <item x="391"/>
        <item x="840"/>
        <item x="577"/>
        <item x="580"/>
        <item x="189"/>
        <item x="357"/>
        <item x="239"/>
        <item x="992"/>
        <item x="952"/>
        <item x="772"/>
        <item x="642"/>
        <item x="940"/>
        <item x="385"/>
        <item x="159"/>
        <item x="810"/>
        <item x="88"/>
        <item x="612"/>
        <item x="770"/>
        <item x="593"/>
        <item x="263"/>
        <item x="101"/>
        <item x="702"/>
        <item x="839"/>
        <item x="973"/>
        <item x="115"/>
        <item x="341"/>
        <item x="789"/>
        <item x="479"/>
        <item x="248"/>
        <item x="904"/>
        <item x="207"/>
        <item x="961"/>
        <item x="615"/>
        <item x="179"/>
        <item x="755"/>
        <item x="350"/>
        <item x="759"/>
        <item x="481"/>
        <item x="487"/>
        <item x="930"/>
        <item x="681"/>
        <item x="128"/>
        <item x="201"/>
        <item x="222"/>
        <item x="859"/>
        <item x="980"/>
        <item x="991"/>
        <item x="684"/>
        <item x="575"/>
        <item x="555"/>
        <item x="936"/>
        <item x="512"/>
        <item x="114"/>
        <item x="602"/>
        <item x="148"/>
        <item x="804"/>
        <item x="618"/>
        <item x="650"/>
        <item x="582"/>
        <item x="494"/>
        <item x="927"/>
        <item x="598"/>
        <item x="270"/>
        <item x="685"/>
        <item x="608"/>
        <item x="889"/>
        <item x="861"/>
        <item x="328"/>
        <item x="200"/>
        <item x="136"/>
        <item x="994"/>
        <item x="361"/>
        <item x="894"/>
        <item x="354"/>
        <item x="784"/>
        <item x="105"/>
        <item x="574"/>
        <item x="746"/>
        <item x="966"/>
        <item x="125"/>
        <item x="6"/>
        <item x="15"/>
        <item x="206"/>
        <item x="633"/>
        <item x="54"/>
        <item x="906"/>
        <item x="230"/>
        <item x="223"/>
        <item x="57"/>
        <item x="627"/>
        <item x="480"/>
        <item x="212"/>
        <item x="285"/>
        <item x="896"/>
        <item x="853"/>
        <item x="791"/>
        <item x="518"/>
        <item x="917"/>
        <item x="202"/>
        <item x="218"/>
        <item x="568"/>
        <item x="183"/>
        <item x="378"/>
        <item x="697"/>
        <item x="837"/>
        <item x="903"/>
        <item x="291"/>
        <item x="8"/>
        <item x="569"/>
        <item x="670"/>
        <item x="9"/>
        <item x="949"/>
        <item x="624"/>
        <item x="545"/>
        <item x="970"/>
        <item x="137"/>
        <item x="81"/>
        <item x="809"/>
        <item x="39"/>
        <item x="455"/>
        <item x="307"/>
        <item x="154"/>
        <item x="258"/>
        <item x="676"/>
        <item x="706"/>
        <item x="679"/>
        <item x="947"/>
        <item x="252"/>
        <item x="296"/>
        <item x="995"/>
        <item x="52"/>
        <item x="475"/>
        <item x="693"/>
        <item x="80"/>
        <item x="42"/>
        <item x="21"/>
        <item x="85"/>
        <item x="301"/>
        <item x="447"/>
        <item x="293"/>
        <item x="704"/>
        <item x="38"/>
        <item x="800"/>
        <item x="208"/>
        <item x="793"/>
        <item x="438"/>
        <item x="718"/>
        <item x="821"/>
        <item x="589"/>
        <item x="558"/>
        <item x="398"/>
        <item x="657"/>
        <item x="259"/>
        <item x="67"/>
        <item x="371"/>
        <item x="87"/>
        <item x="71"/>
        <item x="493"/>
        <item x="65"/>
        <item x="974"/>
        <item x="595"/>
        <item x="979"/>
        <item x="68"/>
        <item x="942"/>
        <item x="131"/>
        <item x="967"/>
        <item x="175"/>
        <item x="457"/>
        <item x="552"/>
        <item x="799"/>
        <item x="363"/>
        <item x="705"/>
        <item x="231"/>
        <item x="246"/>
        <item x="245"/>
        <item x="520"/>
        <item x="262"/>
        <item x="486"/>
        <item x="224"/>
        <item x="84"/>
        <item x="760"/>
        <item x="297"/>
        <item x="918"/>
        <item x="415"/>
        <item x="404"/>
        <item x="606"/>
        <item x="818"/>
        <item x="900"/>
        <item x="549"/>
        <item x="866"/>
        <item x="911"/>
        <item x="269"/>
        <item x="786"/>
        <item x="345"/>
        <item x="309"/>
        <item x="16"/>
        <item x="882"/>
        <item x="531"/>
        <item x="539"/>
        <item x="538"/>
        <item x="731"/>
        <item x="143"/>
        <item x="181"/>
        <item x="956"/>
        <item x="879"/>
        <item x="965"/>
        <item x="832"/>
        <item x="495"/>
        <item x="993"/>
        <item x="774"/>
        <item x="941"/>
        <item x="653"/>
        <item x="117"/>
        <item x="560"/>
        <item x="530"/>
        <item x="59"/>
        <item x="399"/>
        <item x="573"/>
        <item x="11"/>
        <item x="318"/>
        <item x="708"/>
        <item x="854"/>
        <item x="233"/>
        <item x="541"/>
        <item x="186"/>
        <item x="610"/>
        <item x="58"/>
        <item x="405"/>
        <item x="858"/>
        <item x="985"/>
        <item x="312"/>
        <item x="400"/>
        <item x="948"/>
        <item x="778"/>
        <item x="86"/>
        <item x="506"/>
        <item x="887"/>
        <item x="522"/>
        <item x="323"/>
        <item x="150"/>
        <item x="442"/>
        <item x="163"/>
        <item x="928"/>
        <item x="822"/>
        <item x="943"/>
        <item x="26"/>
        <item x="849"/>
        <item x="336"/>
        <item x="49"/>
        <item x="490"/>
        <item x="766"/>
        <item x="449"/>
        <item x="587"/>
        <item x="841"/>
        <item x="687"/>
        <item x="3"/>
        <item x="629"/>
        <item x="463"/>
        <item x="725"/>
        <item x="736"/>
        <item x="372"/>
        <item x="343"/>
        <item x="753"/>
        <item x="647"/>
        <item x="211"/>
        <item x="253"/>
        <item x="116"/>
        <item x="279"/>
        <item x="417"/>
        <item x="63"/>
        <item x="393"/>
        <item x="306"/>
        <item x="120"/>
        <item x="284"/>
        <item x="754"/>
        <item x="380"/>
        <item x="418"/>
        <item x="198"/>
        <item x="149"/>
        <item x="808"/>
        <item x="700"/>
        <item x="714"/>
        <item x="801"/>
        <item x="437"/>
        <item x="141"/>
        <item x="292"/>
        <item x="7"/>
        <item x="631"/>
        <item x="785"/>
        <item x="828"/>
        <item x="327"/>
        <item x="278"/>
        <item x="763"/>
        <item x="213"/>
        <item x="543"/>
        <item x="451"/>
        <item x="167"/>
        <item x="972"/>
        <item x="394"/>
        <item x="433"/>
        <item x="82"/>
        <item x="620"/>
        <item x="342"/>
        <item x="410"/>
        <item x="35"/>
        <item x="795"/>
        <item x="172"/>
        <item x="460"/>
        <item x="216"/>
        <item x="779"/>
        <item x="591"/>
        <item x="885"/>
        <item x="359"/>
        <item x="737"/>
        <item x="129"/>
        <item x="663"/>
        <item x="513"/>
        <item x="374"/>
        <item x="355"/>
        <item x="959"/>
        <item x="184"/>
        <item x="990"/>
        <item x="499"/>
        <item x="802"/>
        <item x="806"/>
        <item x="675"/>
        <item x="368"/>
        <item x="605"/>
        <item x="983"/>
        <item x="976"/>
        <item x="146"/>
        <item x="187"/>
        <item x="561"/>
        <item x="768"/>
        <item x="386"/>
        <item x="812"/>
        <item x="931"/>
        <item x="256"/>
        <item x="747"/>
        <item x="957"/>
        <item x="682"/>
        <item x="397"/>
        <item x="876"/>
        <item x="244"/>
        <item x="689"/>
        <item x="891"/>
        <item x="215"/>
        <item x="428"/>
        <item x="496"/>
        <item x="921"/>
        <item x="242"/>
        <item x="333"/>
        <item x="315"/>
        <item x="227"/>
        <item x="567"/>
        <item x="53"/>
        <item x="366"/>
        <item x="491"/>
        <item x="683"/>
        <item x="636"/>
        <item x="659"/>
        <item x="367"/>
        <item x="492"/>
        <item x="173"/>
        <item x="190"/>
        <item x="17"/>
        <item x="641"/>
        <item x="767"/>
        <item x="982"/>
        <item x="122"/>
        <item x="421"/>
        <item x="50"/>
        <item x="121"/>
        <item x="726"/>
        <item x="20"/>
        <item x="94"/>
        <item x="643"/>
        <item x="235"/>
        <item x="632"/>
        <item x="865"/>
        <item x="719"/>
        <item x="46"/>
        <item x="286"/>
        <item x="855"/>
        <item x="924"/>
        <item x="781"/>
        <item x="637"/>
        <item x="564"/>
        <item x="133"/>
        <item x="899"/>
        <item x="197"/>
        <item x="867"/>
        <item x="850"/>
        <item x="66"/>
        <item x="396"/>
        <item x="902"/>
        <item x="83"/>
        <item x="730"/>
        <item x="497"/>
        <item x="826"/>
        <item x="984"/>
        <item x="295"/>
        <item x="430"/>
        <item x="690"/>
        <item x="161"/>
        <item x="178"/>
        <item x="24"/>
        <item x="302"/>
        <item x="132"/>
        <item x="191"/>
        <item x="511"/>
        <item x="48"/>
        <item x="427"/>
        <item x="905"/>
        <item x="962"/>
        <item x="819"/>
        <item x="411"/>
        <item x="153"/>
        <item x="815"/>
        <item x="476"/>
        <item x="509"/>
        <item x="468"/>
        <item x="160"/>
        <item x="609"/>
        <item x="671"/>
        <item x="384"/>
        <item x="37"/>
        <item x="703"/>
        <item x="762"/>
        <item x="414"/>
        <item x="31"/>
        <item x="579"/>
        <item x="142"/>
        <item x="192"/>
        <item x="89"/>
        <item x="735"/>
        <item x="308"/>
        <item x="93"/>
        <item x="619"/>
        <item x="346"/>
        <item x="869"/>
        <item x="277"/>
        <item x="658"/>
        <item x="56"/>
        <item x="533"/>
        <item x="111"/>
        <item x="665"/>
        <item x="283"/>
        <item x="717"/>
        <item x="157"/>
        <item x="925"/>
        <item x="210"/>
        <item x="370"/>
        <item x="326"/>
        <item x="267"/>
        <item x="617"/>
        <item x="313"/>
        <item x="440"/>
        <item x="420"/>
        <item x="147"/>
        <item x="349"/>
        <item x="446"/>
        <item x="919"/>
        <item x="950"/>
        <item x="820"/>
        <item x="4"/>
        <item x="236"/>
        <item x="436"/>
        <item x="886"/>
        <item x="196"/>
        <item x="375"/>
        <item x="102"/>
        <item x="740"/>
        <item x="339"/>
        <item x="504"/>
        <item x="570"/>
        <item x="340"/>
        <item x="382"/>
        <item x="937"/>
        <item x="600"/>
        <item x="165"/>
        <item x="12"/>
        <item x="76"/>
        <item x="40"/>
        <item x="180"/>
        <item x="651"/>
        <item x="320"/>
        <item x="27"/>
        <item x="540"/>
        <item x="777"/>
        <item x="874"/>
        <item x="2"/>
        <item x="325"/>
        <item x="975"/>
        <item x="60"/>
        <item x="794"/>
        <item x="923"/>
        <item x="929"/>
        <item x="525"/>
        <item x="435"/>
        <item x="688"/>
        <item x="299"/>
        <item x="835"/>
        <item x="221"/>
        <item x="796"/>
        <item x="745"/>
        <item x="466"/>
        <item x="352"/>
        <item x="33"/>
        <item x="268"/>
        <item x="226"/>
        <item x="329"/>
        <item x="130"/>
        <item x="390"/>
        <item x="666"/>
        <item x="692"/>
        <item x="517"/>
        <item x="99"/>
        <item x="563"/>
        <item x="249"/>
        <item x="69"/>
        <item x="47"/>
        <item x="696"/>
        <item x="22"/>
        <item x="92"/>
        <item x="764"/>
        <item x="319"/>
        <item x="864"/>
        <item x="515"/>
        <item x="13"/>
        <item x="96"/>
        <item x="909"/>
        <item x="788"/>
        <item x="830"/>
        <item x="465"/>
        <item x="251"/>
        <item x="884"/>
        <item x="0"/>
        <item x="388"/>
        <item x="314"/>
        <item x="888"/>
        <item x="733"/>
        <item x="91"/>
        <item x="691"/>
        <item x="176"/>
        <item x="877"/>
        <item x="856"/>
        <item x="439"/>
        <item x="470"/>
        <item x="604"/>
        <item x="601"/>
        <item x="523"/>
        <item x="872"/>
        <item x="999"/>
        <item x="773"/>
        <item x="151"/>
        <item x="170"/>
        <item x="844"/>
        <item x="614"/>
        <item x="553"/>
        <item x="450"/>
        <item x="403"/>
        <item x="996"/>
        <item x="502"/>
        <item x="944"/>
        <item x="164"/>
        <item x="501"/>
        <item x="166"/>
        <item x="310"/>
        <item x="621"/>
        <item x="833"/>
        <item x="334"/>
        <item x="998"/>
        <item x="848"/>
        <item x="272"/>
        <item x="332"/>
        <item x="108"/>
        <item x="613"/>
        <item x="10"/>
        <item x="489"/>
        <item x="389"/>
        <item x="914"/>
        <item x="964"/>
        <item x="429"/>
        <item x="217"/>
        <item x="477"/>
        <item x="454"/>
        <item x="945"/>
        <item x="934"/>
        <item x="282"/>
        <item x="661"/>
        <item x="193"/>
        <item x="581"/>
        <item x="472"/>
        <item x="344"/>
        <item x="997"/>
        <item x="97"/>
        <item x="444"/>
        <item x="588"/>
        <item x="797"/>
        <item x="654"/>
        <item x="933"/>
        <item x="177"/>
        <item x="229"/>
        <item x="507"/>
        <item x="744"/>
        <item x="765"/>
        <item x="836"/>
        <item x="77"/>
        <item x="607"/>
        <item x="592"/>
        <item x="664"/>
        <item x="757"/>
        <item x="75"/>
        <item x="954"/>
        <item x="152"/>
        <item x="842"/>
        <item x="448"/>
        <item x="981"/>
        <item x="112"/>
        <item x="113"/>
        <item x="500"/>
        <item x="70"/>
        <item x="387"/>
        <item x="32"/>
        <item x="174"/>
        <item x="667"/>
        <item x="261"/>
        <item x="722"/>
        <item x="863"/>
        <item x="452"/>
        <item x="311"/>
        <item x="890"/>
        <item x="519"/>
        <item x="134"/>
        <item x="381"/>
        <item x="98"/>
        <item x="5"/>
        <item x="478"/>
        <item x="453"/>
        <item x="362"/>
        <item x="72"/>
        <item x="64"/>
        <item x="395"/>
        <item x="939"/>
        <item x="348"/>
        <item x="266"/>
        <item x="110"/>
        <item x="353"/>
        <item x="257"/>
        <item x="673"/>
        <item x="419"/>
        <item x="783"/>
        <item x="646"/>
        <item x="347"/>
        <item x="550"/>
        <item x="243"/>
        <item x="456"/>
        <item x="127"/>
        <item x="459"/>
        <item x="126"/>
        <item x="739"/>
        <item x="79"/>
        <item x="831"/>
        <item x="562"/>
        <item x="100"/>
        <item x="482"/>
        <item x="625"/>
        <item x="469"/>
        <item x="534"/>
        <item x="775"/>
        <item x="109"/>
        <item x="155"/>
        <item x="510"/>
        <item x="807"/>
        <item x="963"/>
        <item x="498"/>
        <item x="62"/>
        <item x="892"/>
        <item x="669"/>
        <item x="734"/>
        <item x="532"/>
        <item x="280"/>
        <item x="41"/>
        <item x="484"/>
        <item x="443"/>
        <item x="237"/>
        <item x="135"/>
        <item x="45"/>
        <item x="893"/>
        <item x="1"/>
        <item x="330"/>
        <item x="423"/>
        <item x="526"/>
        <item x="407"/>
        <item x="769"/>
        <item x="254"/>
        <item x="586"/>
        <item x="695"/>
        <item x="537"/>
        <item x="645"/>
        <item x="843"/>
        <item x="656"/>
        <item x="750"/>
        <item x="662"/>
        <item x="416"/>
        <item x="23"/>
        <item x="432"/>
        <item x="790"/>
        <item x="792"/>
        <item x="672"/>
        <item x="19"/>
        <item x="823"/>
        <item x="729"/>
        <item x="247"/>
        <item x="878"/>
        <item x="969"/>
        <item x="845"/>
        <item x="870"/>
        <item x="566"/>
        <item x="383"/>
        <item x="322"/>
        <item x="377"/>
        <item x="935"/>
        <item x="228"/>
        <item x="626"/>
        <item x="145"/>
        <item x="182"/>
        <item x="426"/>
        <item x="505"/>
        <item x="124"/>
        <item x="897"/>
        <item x="401"/>
        <item x="294"/>
        <item x="524"/>
        <item x="817"/>
        <item x="912"/>
        <item x="712"/>
        <item x="576"/>
        <item x="960"/>
        <item x="953"/>
        <item x="741"/>
        <item x="144"/>
        <item x="805"/>
        <item x="209"/>
        <item x="713"/>
        <item x="727"/>
        <item x="920"/>
        <item x="204"/>
        <item x="14"/>
        <item x="883"/>
        <item x="162"/>
        <item x="529"/>
        <item x="324"/>
        <item x="168"/>
        <item x="594"/>
        <item x="373"/>
        <item x="895"/>
        <item x="776"/>
        <item x="813"/>
        <item x="18"/>
        <item x="649"/>
        <item x="238"/>
        <item x="74"/>
        <item x="199"/>
        <item x="473"/>
        <item x="431"/>
        <item x="106"/>
        <item x="597"/>
        <item x="300"/>
        <item x="34"/>
        <item x="639"/>
        <item x="749"/>
        <item x="351"/>
        <item x="406"/>
        <item x="458"/>
        <item x="214"/>
        <item x="635"/>
        <item x="90"/>
        <item x="95"/>
        <item x="715"/>
        <item x="275"/>
        <item x="707"/>
        <item x="787"/>
        <item x="36"/>
        <item x="583"/>
        <item x="220"/>
        <item x="857"/>
        <item x="103"/>
        <item x="978"/>
        <item x="413"/>
        <item x="118"/>
        <item x="298"/>
        <item x="274"/>
        <item x="548"/>
        <item x="43"/>
        <item x="968"/>
        <item x="922"/>
        <item x="816"/>
        <item x="578"/>
        <item x="811"/>
        <item x="44"/>
        <item x="694"/>
        <item x="138"/>
        <item x="680"/>
        <item x="392"/>
        <item x="169"/>
        <item x="73"/>
        <item x="838"/>
        <item x="989"/>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2">
    <i>
      <x v="1"/>
    </i>
    <i t="grand">
      <x/>
    </i>
  </rowItems>
  <colItems count="1">
    <i/>
  </colItems>
  <dataFields count="1">
    <dataField name="Sum of Sales"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74CEDC-AE78-43A5-BDF0-E9DD59A198E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ly sales">
  <location ref="A3:B15" firstHeaderRow="1" firstDataRow="1" firstDataCol="1"/>
  <pivotFields count="13">
    <pivotField showAll="0"/>
    <pivotField numFmtId="14" showAll="0">
      <items count="341">
        <item x="53"/>
        <item x="28"/>
        <item x="129"/>
        <item x="175"/>
        <item x="76"/>
        <item x="274"/>
        <item x="188"/>
        <item x="206"/>
        <item x="17"/>
        <item x="251"/>
        <item x="242"/>
        <item x="44"/>
        <item x="267"/>
        <item x="314"/>
        <item x="179"/>
        <item x="317"/>
        <item x="155"/>
        <item x="301"/>
        <item x="277"/>
        <item x="70"/>
        <item x="50"/>
        <item x="6"/>
        <item x="12"/>
        <item x="30"/>
        <item x="39"/>
        <item x="24"/>
        <item x="201"/>
        <item x="195"/>
        <item x="338"/>
        <item x="229"/>
        <item x="304"/>
        <item x="31"/>
        <item x="303"/>
        <item x="34"/>
        <item x="69"/>
        <item x="211"/>
        <item x="105"/>
        <item x="190"/>
        <item x="213"/>
        <item x="125"/>
        <item x="214"/>
        <item x="334"/>
        <item x="148"/>
        <item x="208"/>
        <item x="245"/>
        <item x="203"/>
        <item x="248"/>
        <item x="254"/>
        <item x="272"/>
        <item x="56"/>
        <item x="68"/>
        <item x="121"/>
        <item x="335"/>
        <item x="81"/>
        <item x="292"/>
        <item x="196"/>
        <item x="302"/>
        <item x="330"/>
        <item x="147"/>
        <item x="100"/>
        <item x="64"/>
        <item x="170"/>
        <item x="193"/>
        <item x="239"/>
        <item x="65"/>
        <item x="256"/>
        <item x="114"/>
        <item x="112"/>
        <item x="310"/>
        <item x="307"/>
        <item x="332"/>
        <item x="207"/>
        <item x="61"/>
        <item x="204"/>
        <item x="115"/>
        <item x="106"/>
        <item x="172"/>
        <item x="40"/>
        <item x="250"/>
        <item x="319"/>
        <item x="27"/>
        <item x="216"/>
        <item x="322"/>
        <item x="161"/>
        <item x="110"/>
        <item x="72"/>
        <item x="15"/>
        <item x="257"/>
        <item x="266"/>
        <item x="286"/>
        <item x="160"/>
        <item x="99"/>
        <item x="29"/>
        <item x="25"/>
        <item x="79"/>
        <item x="327"/>
        <item x="54"/>
        <item x="66"/>
        <item x="183"/>
        <item x="33"/>
        <item x="119"/>
        <item x="202"/>
        <item x="281"/>
        <item x="210"/>
        <item x="231"/>
        <item x="174"/>
        <item x="116"/>
        <item x="8"/>
        <item x="113"/>
        <item x="162"/>
        <item x="95"/>
        <item x="283"/>
        <item x="233"/>
        <item x="186"/>
        <item x="144"/>
        <item x="263"/>
        <item x="321"/>
        <item x="234"/>
        <item x="18"/>
        <item x="74"/>
        <item x="168"/>
        <item x="171"/>
        <item x="57"/>
        <item x="166"/>
        <item x="252"/>
        <item x="194"/>
        <item x="111"/>
        <item x="313"/>
        <item x="48"/>
        <item x="35"/>
        <item x="14"/>
        <item x="9"/>
        <item x="241"/>
        <item x="60"/>
        <item x="290"/>
        <item x="3"/>
        <item x="316"/>
        <item x="38"/>
        <item x="230"/>
        <item x="235"/>
        <item x="152"/>
        <item x="198"/>
        <item x="240"/>
        <item x="276"/>
        <item x="108"/>
        <item x="187"/>
        <item x="37"/>
        <item x="107"/>
        <item x="298"/>
        <item x="46"/>
        <item x="88"/>
        <item x="51"/>
        <item x="49"/>
        <item x="300"/>
        <item x="164"/>
        <item x="223"/>
        <item x="92"/>
        <item x="89"/>
        <item x="132"/>
        <item x="265"/>
        <item x="282"/>
        <item x="337"/>
        <item x="320"/>
        <item x="249"/>
        <item x="270"/>
        <item x="339"/>
        <item x="138"/>
        <item x="4"/>
        <item x="197"/>
        <item x="253"/>
        <item x="47"/>
        <item x="109"/>
        <item x="215"/>
        <item x="312"/>
        <item x="260"/>
        <item x="244"/>
        <item x="122"/>
        <item x="42"/>
        <item x="156"/>
        <item x="246"/>
        <item x="326"/>
        <item x="16"/>
        <item x="141"/>
        <item x="293"/>
        <item x="63"/>
        <item x="13"/>
        <item x="318"/>
        <item x="225"/>
        <item x="275"/>
        <item x="177"/>
        <item x="10"/>
        <item x="117"/>
        <item x="294"/>
        <item x="176"/>
        <item x="135"/>
        <item x="43"/>
        <item x="305"/>
        <item x="268"/>
        <item x="180"/>
        <item x="226"/>
        <item x="167"/>
        <item x="2"/>
        <item x="217"/>
        <item x="1"/>
        <item x="328"/>
        <item x="264"/>
        <item x="11"/>
        <item x="131"/>
        <item x="165"/>
        <item x="297"/>
        <item x="73"/>
        <item x="36"/>
        <item x="145"/>
        <item x="26"/>
        <item x="104"/>
        <item x="98"/>
        <item x="151"/>
        <item x="59"/>
        <item x="21"/>
        <item x="101"/>
        <item x="271"/>
        <item x="134"/>
        <item x="94"/>
        <item x="336"/>
        <item x="189"/>
        <item x="173"/>
        <item x="323"/>
        <item x="184"/>
        <item x="23"/>
        <item x="185"/>
        <item x="243"/>
        <item x="289"/>
        <item x="169"/>
        <item x="315"/>
        <item x="75"/>
        <item x="71"/>
        <item x="123"/>
        <item x="238"/>
        <item x="324"/>
        <item x="157"/>
        <item x="209"/>
        <item x="149"/>
        <item x="124"/>
        <item x="97"/>
        <item x="142"/>
        <item x="227"/>
        <item x="22"/>
        <item x="280"/>
        <item x="181"/>
        <item x="278"/>
        <item x="139"/>
        <item x="296"/>
        <item x="153"/>
        <item x="130"/>
        <item x="258"/>
        <item x="78"/>
        <item x="236"/>
        <item x="20"/>
        <item x="62"/>
        <item x="87"/>
        <item x="41"/>
        <item x="191"/>
        <item x="93"/>
        <item x="5"/>
        <item x="163"/>
        <item x="285"/>
        <item x="333"/>
        <item x="133"/>
        <item x="126"/>
        <item x="82"/>
        <item x="159"/>
        <item x="329"/>
        <item x="247"/>
        <item x="80"/>
        <item x="291"/>
        <item x="90"/>
        <item x="308"/>
        <item x="178"/>
        <item x="91"/>
        <item x="228"/>
        <item x="199"/>
        <item x="224"/>
        <item x="32"/>
        <item x="120"/>
        <item x="221"/>
        <item x="127"/>
        <item x="146"/>
        <item x="261"/>
        <item x="7"/>
        <item x="58"/>
        <item x="136"/>
        <item x="218"/>
        <item x="143"/>
        <item x="83"/>
        <item x="331"/>
        <item x="102"/>
        <item x="306"/>
        <item x="55"/>
        <item x="103"/>
        <item x="212"/>
        <item x="154"/>
        <item x="299"/>
        <item x="0"/>
        <item x="118"/>
        <item x="200"/>
        <item x="77"/>
        <item x="222"/>
        <item x="150"/>
        <item x="137"/>
        <item x="288"/>
        <item x="140"/>
        <item x="128"/>
        <item x="19"/>
        <item x="84"/>
        <item x="269"/>
        <item x="52"/>
        <item x="237"/>
        <item x="205"/>
        <item x="158"/>
        <item x="284"/>
        <item x="311"/>
        <item x="259"/>
        <item x="309"/>
        <item x="192"/>
        <item x="279"/>
        <item x="255"/>
        <item x="86"/>
        <item x="85"/>
        <item x="182"/>
        <item x="273"/>
        <item x="219"/>
        <item x="232"/>
        <item x="295"/>
        <item x="67"/>
        <item x="45"/>
        <item x="262"/>
        <item x="96"/>
        <item x="220"/>
        <item x="325"/>
        <item x="287"/>
        <item t="default"/>
      </items>
    </pivotField>
    <pivotField showAll="0"/>
    <pivotField showAll="0">
      <items count="5">
        <item x="2"/>
        <item h="1" x="0"/>
        <item h="1" x="1"/>
        <item h="1" x="3"/>
        <item t="default"/>
      </items>
    </pivotField>
    <pivotField showAll="0">
      <items count="6">
        <item h="1" x="3"/>
        <item x="4"/>
        <item h="1" x="0"/>
        <item h="1" x="1"/>
        <item h="1" x="2"/>
        <item t="default"/>
      </items>
    </pivotField>
    <pivotField showAll="0"/>
    <pivotField showAll="0"/>
    <pivotField showAll="0"/>
    <pivotField showAll="0"/>
    <pivotField dataField="1"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2"/>
    <field x="11"/>
  </rowFields>
  <rowItems count="12">
    <i>
      <x v="1"/>
    </i>
    <i r="1">
      <x v="2"/>
    </i>
    <i r="1">
      <x v="3"/>
    </i>
    <i r="1">
      <x v="4"/>
    </i>
    <i r="1">
      <x v="5"/>
    </i>
    <i r="1">
      <x v="6"/>
    </i>
    <i r="1">
      <x v="7"/>
    </i>
    <i r="1">
      <x v="8"/>
    </i>
    <i r="1">
      <x v="9"/>
    </i>
    <i r="1">
      <x v="11"/>
    </i>
    <i r="1">
      <x v="12"/>
    </i>
    <i t="grand">
      <x/>
    </i>
  </rowItems>
  <colItems count="1">
    <i/>
  </colItems>
  <dataFields count="1">
    <dataField name="Sum of Sales"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EA75E9-CF90-404A-8627-576F121CB8C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A3:B5" firstHeaderRow="1" firstDataRow="1" firstDataCol="1"/>
  <pivotFields count="13">
    <pivotField showAll="0"/>
    <pivotField numFmtId="14" showAll="0">
      <items count="341">
        <item x="53"/>
        <item x="28"/>
        <item x="129"/>
        <item x="175"/>
        <item x="76"/>
        <item x="274"/>
        <item x="188"/>
        <item x="206"/>
        <item x="17"/>
        <item x="251"/>
        <item x="242"/>
        <item x="44"/>
        <item x="267"/>
        <item x="314"/>
        <item x="179"/>
        <item x="317"/>
        <item x="155"/>
        <item x="301"/>
        <item x="277"/>
        <item x="70"/>
        <item x="50"/>
        <item x="6"/>
        <item x="12"/>
        <item x="30"/>
        <item x="39"/>
        <item x="24"/>
        <item x="201"/>
        <item x="195"/>
        <item x="338"/>
        <item x="229"/>
        <item x="304"/>
        <item x="31"/>
        <item x="303"/>
        <item x="34"/>
        <item x="69"/>
        <item x="211"/>
        <item x="105"/>
        <item x="190"/>
        <item x="213"/>
        <item x="125"/>
        <item x="214"/>
        <item x="334"/>
        <item x="148"/>
        <item x="208"/>
        <item x="245"/>
        <item x="203"/>
        <item x="248"/>
        <item x="254"/>
        <item x="272"/>
        <item x="56"/>
        <item x="68"/>
        <item x="121"/>
        <item x="335"/>
        <item x="81"/>
        <item x="292"/>
        <item x="196"/>
        <item x="302"/>
        <item x="330"/>
        <item x="147"/>
        <item x="100"/>
        <item x="64"/>
        <item x="170"/>
        <item x="193"/>
        <item x="239"/>
        <item x="65"/>
        <item x="256"/>
        <item x="114"/>
        <item x="112"/>
        <item x="310"/>
        <item x="307"/>
        <item x="332"/>
        <item x="207"/>
        <item x="61"/>
        <item x="204"/>
        <item x="115"/>
        <item x="106"/>
        <item x="172"/>
        <item x="40"/>
        <item x="250"/>
        <item x="319"/>
        <item x="27"/>
        <item x="216"/>
        <item x="322"/>
        <item x="161"/>
        <item x="110"/>
        <item x="72"/>
        <item x="15"/>
        <item x="257"/>
        <item x="266"/>
        <item x="286"/>
        <item x="160"/>
        <item x="99"/>
        <item x="29"/>
        <item x="25"/>
        <item x="79"/>
        <item x="327"/>
        <item x="54"/>
        <item x="66"/>
        <item x="183"/>
        <item x="33"/>
        <item x="119"/>
        <item x="202"/>
        <item x="281"/>
        <item x="210"/>
        <item x="231"/>
        <item x="174"/>
        <item x="116"/>
        <item x="8"/>
        <item x="113"/>
        <item x="162"/>
        <item x="95"/>
        <item x="283"/>
        <item x="233"/>
        <item x="186"/>
        <item x="144"/>
        <item x="263"/>
        <item x="321"/>
        <item x="234"/>
        <item x="18"/>
        <item x="74"/>
        <item x="168"/>
        <item x="171"/>
        <item x="57"/>
        <item x="166"/>
        <item x="252"/>
        <item x="194"/>
        <item x="111"/>
        <item x="313"/>
        <item x="48"/>
        <item x="35"/>
        <item x="14"/>
        <item x="9"/>
        <item x="241"/>
        <item x="60"/>
        <item x="290"/>
        <item x="3"/>
        <item x="316"/>
        <item x="38"/>
        <item x="230"/>
        <item x="235"/>
        <item x="152"/>
        <item x="198"/>
        <item x="240"/>
        <item x="276"/>
        <item x="108"/>
        <item x="187"/>
        <item x="37"/>
        <item x="107"/>
        <item x="298"/>
        <item x="46"/>
        <item x="88"/>
        <item x="51"/>
        <item x="49"/>
        <item x="300"/>
        <item x="164"/>
        <item x="223"/>
        <item x="92"/>
        <item x="89"/>
        <item x="132"/>
        <item x="265"/>
        <item x="282"/>
        <item x="337"/>
        <item x="320"/>
        <item x="249"/>
        <item x="270"/>
        <item x="339"/>
        <item x="138"/>
        <item x="4"/>
        <item x="197"/>
        <item x="253"/>
        <item x="47"/>
        <item x="109"/>
        <item x="215"/>
        <item x="312"/>
        <item x="260"/>
        <item x="244"/>
        <item x="122"/>
        <item x="42"/>
        <item x="156"/>
        <item x="246"/>
        <item x="326"/>
        <item x="16"/>
        <item x="141"/>
        <item x="293"/>
        <item x="63"/>
        <item x="13"/>
        <item x="318"/>
        <item x="225"/>
        <item x="275"/>
        <item x="177"/>
        <item x="10"/>
        <item x="117"/>
        <item x="294"/>
        <item x="176"/>
        <item x="135"/>
        <item x="43"/>
        <item x="305"/>
        <item x="268"/>
        <item x="180"/>
        <item x="226"/>
        <item x="167"/>
        <item x="2"/>
        <item x="217"/>
        <item x="1"/>
        <item x="328"/>
        <item x="264"/>
        <item x="11"/>
        <item x="131"/>
        <item x="165"/>
        <item x="297"/>
        <item x="73"/>
        <item x="36"/>
        <item x="145"/>
        <item x="26"/>
        <item x="104"/>
        <item x="98"/>
        <item x="151"/>
        <item x="59"/>
        <item x="21"/>
        <item x="101"/>
        <item x="271"/>
        <item x="134"/>
        <item x="94"/>
        <item x="336"/>
        <item x="189"/>
        <item x="173"/>
        <item x="323"/>
        <item x="184"/>
        <item x="23"/>
        <item x="185"/>
        <item x="243"/>
        <item x="289"/>
        <item x="169"/>
        <item x="315"/>
        <item x="75"/>
        <item x="71"/>
        <item x="123"/>
        <item x="238"/>
        <item x="324"/>
        <item x="157"/>
        <item x="209"/>
        <item x="149"/>
        <item x="124"/>
        <item x="97"/>
        <item x="142"/>
        <item x="227"/>
        <item x="22"/>
        <item x="280"/>
        <item x="181"/>
        <item x="278"/>
        <item x="139"/>
        <item x="296"/>
        <item x="153"/>
        <item x="130"/>
        <item x="258"/>
        <item x="78"/>
        <item x="236"/>
        <item x="20"/>
        <item x="62"/>
        <item x="87"/>
        <item x="41"/>
        <item x="191"/>
        <item x="93"/>
        <item x="5"/>
        <item x="163"/>
        <item x="285"/>
        <item x="333"/>
        <item x="133"/>
        <item x="126"/>
        <item x="82"/>
        <item x="159"/>
        <item x="329"/>
        <item x="247"/>
        <item x="80"/>
        <item x="291"/>
        <item x="90"/>
        <item x="308"/>
        <item x="178"/>
        <item x="91"/>
        <item x="228"/>
        <item x="199"/>
        <item x="224"/>
        <item x="32"/>
        <item x="120"/>
        <item x="221"/>
        <item x="127"/>
        <item x="146"/>
        <item x="261"/>
        <item x="7"/>
        <item x="58"/>
        <item x="136"/>
        <item x="218"/>
        <item x="143"/>
        <item x="83"/>
        <item x="331"/>
        <item x="102"/>
        <item x="306"/>
        <item x="55"/>
        <item x="103"/>
        <item x="212"/>
        <item x="154"/>
        <item x="299"/>
        <item x="0"/>
        <item x="118"/>
        <item x="200"/>
        <item x="77"/>
        <item x="222"/>
        <item x="150"/>
        <item x="137"/>
        <item x="288"/>
        <item x="140"/>
        <item x="128"/>
        <item x="19"/>
        <item x="84"/>
        <item x="269"/>
        <item x="52"/>
        <item x="237"/>
        <item x="205"/>
        <item x="158"/>
        <item x="284"/>
        <item x="311"/>
        <item x="259"/>
        <item x="309"/>
        <item x="192"/>
        <item x="279"/>
        <item x="255"/>
        <item x="86"/>
        <item x="85"/>
        <item x="182"/>
        <item x="273"/>
        <item x="219"/>
        <item x="232"/>
        <item x="295"/>
        <item x="67"/>
        <item x="45"/>
        <item x="262"/>
        <item x="96"/>
        <item x="220"/>
        <item x="325"/>
        <item x="287"/>
        <item t="default"/>
      </items>
    </pivotField>
    <pivotField showAll="0"/>
    <pivotField axis="axisRow" showAll="0">
      <items count="5">
        <item x="2"/>
        <item h="1" x="0"/>
        <item h="1" x="1"/>
        <item h="1" x="3"/>
        <item t="default"/>
      </items>
    </pivotField>
    <pivotField showAll="0">
      <items count="6">
        <item h="1" x="3"/>
        <item x="4"/>
        <item h="1" x="0"/>
        <item h="1" x="1"/>
        <item h="1" x="2"/>
        <item t="default"/>
      </items>
    </pivotField>
    <pivotField showAll="0"/>
    <pivotField showAll="0"/>
    <pivotField showAll="0"/>
    <pivotField showAll="0"/>
    <pivotField showAll="0"/>
    <pivotField dataField="1" showAll="0"/>
    <pivotField showAll="0" defaultSubtotal="0"/>
    <pivotField showAll="0" defaultSubtotal="0">
      <items count="4">
        <item x="0"/>
        <item x="1"/>
        <item x="2"/>
        <item x="3"/>
      </items>
    </pivotField>
  </pivotFields>
  <rowFields count="1">
    <field x="3"/>
  </rowFields>
  <rowItems count="2">
    <i>
      <x/>
    </i>
    <i t="grand">
      <x/>
    </i>
  </rowItems>
  <colItems count="1">
    <i/>
  </colItems>
  <dataFields count="1">
    <dataField name="Sum of Profit" fld="10"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95D374-2F1D-4B79-8AE8-421F321826B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numFmtId="14" showAll="0">
      <items count="341">
        <item x="53"/>
        <item x="28"/>
        <item x="129"/>
        <item x="175"/>
        <item x="76"/>
        <item x="274"/>
        <item x="188"/>
        <item x="206"/>
        <item x="17"/>
        <item x="251"/>
        <item x="242"/>
        <item x="44"/>
        <item x="267"/>
        <item x="314"/>
        <item x="179"/>
        <item x="317"/>
        <item x="155"/>
        <item x="301"/>
        <item x="277"/>
        <item x="70"/>
        <item x="50"/>
        <item x="6"/>
        <item x="12"/>
        <item x="30"/>
        <item x="39"/>
        <item x="24"/>
        <item x="201"/>
        <item x="195"/>
        <item x="338"/>
        <item x="229"/>
        <item x="304"/>
        <item x="31"/>
        <item x="303"/>
        <item x="34"/>
        <item x="69"/>
        <item x="211"/>
        <item x="105"/>
        <item x="190"/>
        <item x="213"/>
        <item x="125"/>
        <item x="214"/>
        <item x="334"/>
        <item x="148"/>
        <item x="208"/>
        <item x="245"/>
        <item x="203"/>
        <item x="248"/>
        <item x="254"/>
        <item x="272"/>
        <item x="56"/>
        <item x="68"/>
        <item x="121"/>
        <item x="335"/>
        <item x="81"/>
        <item x="292"/>
        <item x="196"/>
        <item x="302"/>
        <item x="330"/>
        <item x="147"/>
        <item x="100"/>
        <item x="64"/>
        <item x="170"/>
        <item x="193"/>
        <item x="239"/>
        <item x="65"/>
        <item x="256"/>
        <item x="114"/>
        <item x="112"/>
        <item x="310"/>
        <item x="307"/>
        <item x="332"/>
        <item x="207"/>
        <item x="61"/>
        <item x="204"/>
        <item x="115"/>
        <item x="106"/>
        <item x="172"/>
        <item x="40"/>
        <item x="250"/>
        <item x="319"/>
        <item x="27"/>
        <item x="216"/>
        <item x="322"/>
        <item x="161"/>
        <item x="110"/>
        <item x="72"/>
        <item x="15"/>
        <item x="257"/>
        <item x="266"/>
        <item x="286"/>
        <item x="160"/>
        <item x="99"/>
        <item x="29"/>
        <item x="25"/>
        <item x="79"/>
        <item x="327"/>
        <item x="54"/>
        <item x="66"/>
        <item x="183"/>
        <item x="33"/>
        <item x="119"/>
        <item x="202"/>
        <item x="281"/>
        <item x="210"/>
        <item x="231"/>
        <item x="174"/>
        <item x="116"/>
        <item x="8"/>
        <item x="113"/>
        <item x="162"/>
        <item x="95"/>
        <item x="283"/>
        <item x="233"/>
        <item x="186"/>
        <item x="144"/>
        <item x="263"/>
        <item x="321"/>
        <item x="234"/>
        <item x="18"/>
        <item x="74"/>
        <item x="168"/>
        <item x="171"/>
        <item x="57"/>
        <item x="166"/>
        <item x="252"/>
        <item x="194"/>
        <item x="111"/>
        <item x="313"/>
        <item x="48"/>
        <item x="35"/>
        <item x="14"/>
        <item x="9"/>
        <item x="241"/>
        <item x="60"/>
        <item x="290"/>
        <item x="3"/>
        <item x="316"/>
        <item x="38"/>
        <item x="230"/>
        <item x="235"/>
        <item x="152"/>
        <item x="198"/>
        <item x="240"/>
        <item x="276"/>
        <item x="108"/>
        <item x="187"/>
        <item x="37"/>
        <item x="107"/>
        <item x="298"/>
        <item x="46"/>
        <item x="88"/>
        <item x="51"/>
        <item x="49"/>
        <item x="300"/>
        <item x="164"/>
        <item x="223"/>
        <item x="92"/>
        <item x="89"/>
        <item x="132"/>
        <item x="265"/>
        <item x="282"/>
        <item x="337"/>
        <item x="320"/>
        <item x="249"/>
        <item x="270"/>
        <item x="339"/>
        <item x="138"/>
        <item x="4"/>
        <item x="197"/>
        <item x="253"/>
        <item x="47"/>
        <item x="109"/>
        <item x="215"/>
        <item x="312"/>
        <item x="260"/>
        <item x="244"/>
        <item x="122"/>
        <item x="42"/>
        <item x="156"/>
        <item x="246"/>
        <item x="326"/>
        <item x="16"/>
        <item x="141"/>
        <item x="293"/>
        <item x="63"/>
        <item x="13"/>
        <item x="318"/>
        <item x="225"/>
        <item x="275"/>
        <item x="177"/>
        <item x="10"/>
        <item x="117"/>
        <item x="294"/>
        <item x="176"/>
        <item x="135"/>
        <item x="43"/>
        <item x="305"/>
        <item x="268"/>
        <item x="180"/>
        <item x="226"/>
        <item x="167"/>
        <item x="2"/>
        <item x="217"/>
        <item x="1"/>
        <item x="328"/>
        <item x="264"/>
        <item x="11"/>
        <item x="131"/>
        <item x="165"/>
        <item x="297"/>
        <item x="73"/>
        <item x="36"/>
        <item x="145"/>
        <item x="26"/>
        <item x="104"/>
        <item x="98"/>
        <item x="151"/>
        <item x="59"/>
        <item x="21"/>
        <item x="101"/>
        <item x="271"/>
        <item x="134"/>
        <item x="94"/>
        <item x="336"/>
        <item x="189"/>
        <item x="173"/>
        <item x="323"/>
        <item x="184"/>
        <item x="23"/>
        <item x="185"/>
        <item x="243"/>
        <item x="289"/>
        <item x="169"/>
        <item x="315"/>
        <item x="75"/>
        <item x="71"/>
        <item x="123"/>
        <item x="238"/>
        <item x="324"/>
        <item x="157"/>
        <item x="209"/>
        <item x="149"/>
        <item x="124"/>
        <item x="97"/>
        <item x="142"/>
        <item x="227"/>
        <item x="22"/>
        <item x="280"/>
        <item x="181"/>
        <item x="278"/>
        <item x="139"/>
        <item x="296"/>
        <item x="153"/>
        <item x="130"/>
        <item x="258"/>
        <item x="78"/>
        <item x="236"/>
        <item x="20"/>
        <item x="62"/>
        <item x="87"/>
        <item x="41"/>
        <item x="191"/>
        <item x="93"/>
        <item x="5"/>
        <item x="163"/>
        <item x="285"/>
        <item x="333"/>
        <item x="133"/>
        <item x="126"/>
        <item x="82"/>
        <item x="159"/>
        <item x="329"/>
        <item x="247"/>
        <item x="80"/>
        <item x="291"/>
        <item x="90"/>
        <item x="308"/>
        <item x="178"/>
        <item x="91"/>
        <item x="228"/>
        <item x="199"/>
        <item x="224"/>
        <item x="32"/>
        <item x="120"/>
        <item x="221"/>
        <item x="127"/>
        <item x="146"/>
        <item x="261"/>
        <item x="7"/>
        <item x="58"/>
        <item x="136"/>
        <item x="218"/>
        <item x="143"/>
        <item x="83"/>
        <item x="331"/>
        <item x="102"/>
        <item x="306"/>
        <item x="55"/>
        <item x="103"/>
        <item x="212"/>
        <item x="154"/>
        <item x="299"/>
        <item x="0"/>
        <item x="118"/>
        <item x="200"/>
        <item x="77"/>
        <item x="222"/>
        <item x="150"/>
        <item x="137"/>
        <item x="288"/>
        <item x="140"/>
        <item x="128"/>
        <item x="19"/>
        <item x="84"/>
        <item x="269"/>
        <item x="52"/>
        <item x="237"/>
        <item x="205"/>
        <item x="158"/>
        <item x="284"/>
        <item x="311"/>
        <item x="259"/>
        <item x="309"/>
        <item x="192"/>
        <item x="279"/>
        <item x="255"/>
        <item x="86"/>
        <item x="85"/>
        <item x="182"/>
        <item x="273"/>
        <item x="219"/>
        <item x="232"/>
        <item x="295"/>
        <item x="67"/>
        <item x="45"/>
        <item x="262"/>
        <item x="96"/>
        <item x="220"/>
        <item x="325"/>
        <item x="287"/>
        <item t="default"/>
      </items>
    </pivotField>
    <pivotField showAll="0"/>
    <pivotField showAll="0">
      <items count="5">
        <item x="2"/>
        <item h="1" x="0"/>
        <item h="1" x="1"/>
        <item h="1" x="3"/>
        <item t="default"/>
      </items>
    </pivotField>
    <pivotField showAll="0">
      <items count="6">
        <item h="1" x="3"/>
        <item x="4"/>
        <item h="1" x="0"/>
        <item h="1" x="1"/>
        <item h="1" x="2"/>
        <item t="default"/>
      </items>
    </pivotField>
    <pivotField showAll="0"/>
    <pivotField showAll="0"/>
    <pivotField dataField="1" showAll="0"/>
    <pivotField showAll="0"/>
    <pivotField dataField="1" showAll="0"/>
    <pivotField dataField="1" showAll="0"/>
    <pivotField showAll="0" defaultSubtotal="0"/>
    <pivotField showAll="0" defaultSubtotal="0">
      <items count="4">
        <item x="0"/>
        <item x="1"/>
        <item x="2"/>
        <item x="3"/>
      </items>
    </pivotField>
  </pivotFields>
  <rowItems count="1">
    <i/>
  </rowItems>
  <colFields count="1">
    <field x="-2"/>
  </colFields>
  <colItems count="4">
    <i>
      <x/>
    </i>
    <i i="1">
      <x v="1"/>
    </i>
    <i i="2">
      <x v="2"/>
    </i>
    <i i="3">
      <x v="3"/>
    </i>
  </colItems>
  <dataFields count="4">
    <dataField name="Sum of Sales" fld="9" baseField="0" baseItem="0"/>
    <dataField name="Sum of Profit" fld="10" baseField="0" baseItem="0"/>
    <dataField name="Sum of Quantity" fld="7" baseField="0" baseItem="0"/>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81F17B4-3236-4AC8-B1F0-A262ECBD0D47}" autoFormatId="16" applyNumberFormats="0" applyBorderFormats="0" applyFontFormats="0" applyPatternFormats="0" applyAlignmentFormats="0" applyWidthHeightFormats="0">
  <queryTableRefresh nextId="12">
    <queryTableFields count="11">
      <queryTableField id="1" name="Order_ID" tableColumnId="1"/>
      <queryTableField id="2" name="Order_Date" tableColumnId="2"/>
      <queryTableField id="3" name="Product" tableColumnId="3"/>
      <queryTableField id="4" name="Category" tableColumnId="4"/>
      <queryTableField id="5" name="Region" tableColumnId="5"/>
      <queryTableField id="6" name="Sales_Channel" tableColumnId="6"/>
      <queryTableField id="7" name="Payment_Method" tableColumnId="7"/>
      <queryTableField id="8" name="Quantity" tableColumnId="8"/>
      <queryTableField id="9" name="Unit_Price" tableColumnId="9"/>
      <queryTableField id="10" name="Sales" tableColumnId="10"/>
      <queryTableField id="11" name="Profi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B08367C-F15C-4B90-B14B-F1AA37FD5D2B}" sourceName="Category">
  <pivotTables>
    <pivotTable tabId="3" name="PivotTable1"/>
    <pivotTable tabId="5" name="PivotTable3"/>
    <pivotTable tabId="7" name="PivotTable4"/>
    <pivotTable tabId="4" name="PivotTable2"/>
  </pivotTables>
  <data>
    <tabular pivotCacheId="974997906">
      <items count="4">
        <i x="2"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C7E6886-9DB3-4E83-A374-EE4F7E98B47A}" sourceName="Region">
  <pivotTables>
    <pivotTable tabId="3" name="PivotTable1"/>
    <pivotTable tabId="5" name="PivotTable3"/>
    <pivotTable tabId="4" name="PivotTable2"/>
    <pivotTable tabId="7" name="PivotTable4"/>
  </pivotTables>
  <data>
    <tabular pivotCacheId="974997906">
      <items count="5">
        <i x="3"/>
        <i x="4" s="1"/>
        <i x="0"/>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A3A1B3C-F8CE-41BF-90DF-E595F65BD3DA}" cache="Slicer_Category" caption="Category" rowHeight="234950"/>
  <slicer name="Region" xr10:uid="{1B05531D-77A3-4B76-BD13-BE1BA1776629}" cache="Slicer_Region"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B4CC78-16AC-4F7A-A3D9-53A08B49C7F1}" name="SalesData" displayName="SalesData" ref="A1:K1001" tableType="queryTable" totalsRowShown="0">
  <autoFilter ref="A1:K1001" xr:uid="{18B4CC78-16AC-4F7A-A3D9-53A08B49C7F1}"/>
  <tableColumns count="11">
    <tableColumn id="1" xr3:uid="{FFDB5826-7F9E-4E64-BAFB-54D5DBE96517}" uniqueName="1" name="Order_ID" queryTableFieldId="1" dataDxfId="6"/>
    <tableColumn id="2" xr3:uid="{BC106D44-D4E6-45C3-9B48-3E052E2ADDD2}" uniqueName="2" name="Order_Date" queryTableFieldId="2" dataDxfId="5"/>
    <tableColumn id="3" xr3:uid="{BA22551B-4288-4747-A213-9CDECAD143B3}" uniqueName="3" name="Product" queryTableFieldId="3" dataDxfId="4"/>
    <tableColumn id="4" xr3:uid="{5211FD73-AA62-4BB4-8EE9-C451B1E57275}" uniqueName="4" name="Category" queryTableFieldId="4" dataDxfId="3"/>
    <tableColumn id="5" xr3:uid="{568BD0C0-6B79-4899-9213-2A8FAFD26253}" uniqueName="5" name="Region" queryTableFieldId="5" dataDxfId="2"/>
    <tableColumn id="6" xr3:uid="{C0714C4B-F9A5-4900-A0C8-3E7B1A8745E5}" uniqueName="6" name="Sales_Channel" queryTableFieldId="6" dataDxfId="1"/>
    <tableColumn id="7" xr3:uid="{5ADB8708-B15B-4C98-80CF-5E51D8B2730A}" uniqueName="7" name="Payment_Method" queryTableFieldId="7" dataDxfId="0"/>
    <tableColumn id="8" xr3:uid="{6CCF1A66-A7CA-433D-B66B-9390406FA7EF}" uniqueName="8" name="Quantity" queryTableFieldId="8"/>
    <tableColumn id="9" xr3:uid="{738AFDAB-B60F-45F0-BA00-9B008074C155}" uniqueName="9" name="Unit_Price" queryTableFieldId="9"/>
    <tableColumn id="10" xr3:uid="{8464D801-3E3D-4390-B993-273EA252C42D}" uniqueName="10" name="Sales" queryTableFieldId="10"/>
    <tableColumn id="11" xr3:uid="{4F90F734-0BC7-45E7-9F62-36526A9D395C}" uniqueName="11" name="Profit"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997C1-6D08-47D2-A8D0-38F516E47192}">
  <dimension ref="A4:B6"/>
  <sheetViews>
    <sheetView workbookViewId="0">
      <selection activeCell="I46" sqref="I46"/>
    </sheetView>
  </sheetViews>
  <sheetFormatPr defaultRowHeight="14.4" x14ac:dyDescent="0.3"/>
  <cols>
    <col min="1" max="1" width="10.77734375" bestFit="1" customWidth="1"/>
    <col min="2" max="2" width="11.6640625" bestFit="1" customWidth="1"/>
  </cols>
  <sheetData>
    <row r="4" spans="1:2" x14ac:dyDescent="0.3">
      <c r="A4" s="2" t="s">
        <v>4</v>
      </c>
      <c r="B4" t="s">
        <v>1040</v>
      </c>
    </row>
    <row r="5" spans="1:2" x14ac:dyDescent="0.3">
      <c r="A5" s="3" t="s">
        <v>43</v>
      </c>
      <c r="B5" s="16">
        <v>40566.92</v>
      </c>
    </row>
    <row r="6" spans="1:2" x14ac:dyDescent="0.3">
      <c r="A6" s="3" t="s">
        <v>1039</v>
      </c>
      <c r="B6" s="16">
        <v>40566.92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FC2DE-ADC8-4A12-9393-0456D5F54FB8}">
  <dimension ref="A3:B15"/>
  <sheetViews>
    <sheetView workbookViewId="0">
      <selection activeCell="B7" sqref="B7"/>
    </sheetView>
  </sheetViews>
  <sheetFormatPr defaultRowHeight="14.4" x14ac:dyDescent="0.3"/>
  <cols>
    <col min="1" max="1" width="14.77734375" bestFit="1" customWidth="1"/>
    <col min="2" max="2" width="11.6640625" bestFit="1" customWidth="1"/>
  </cols>
  <sheetData>
    <row r="3" spans="1:2" x14ac:dyDescent="0.3">
      <c r="A3" s="2" t="s">
        <v>1051</v>
      </c>
      <c r="B3" t="s">
        <v>1040</v>
      </c>
    </row>
    <row r="4" spans="1:2" x14ac:dyDescent="0.3">
      <c r="A4" s="3" t="s">
        <v>1052</v>
      </c>
      <c r="B4" s="16">
        <v>40566.92</v>
      </c>
    </row>
    <row r="5" spans="1:2" x14ac:dyDescent="0.3">
      <c r="A5" s="4" t="s">
        <v>1041</v>
      </c>
      <c r="B5" s="16">
        <v>2981.95</v>
      </c>
    </row>
    <row r="6" spans="1:2" x14ac:dyDescent="0.3">
      <c r="A6" s="4" t="s">
        <v>1042</v>
      </c>
      <c r="B6" s="16">
        <v>6771.4900000000007</v>
      </c>
    </row>
    <row r="7" spans="1:2" x14ac:dyDescent="0.3">
      <c r="A7" s="4" t="s">
        <v>1043</v>
      </c>
      <c r="B7" s="16">
        <v>5188.1100000000006</v>
      </c>
    </row>
    <row r="8" spans="1:2" x14ac:dyDescent="0.3">
      <c r="A8" s="4" t="s">
        <v>1044</v>
      </c>
      <c r="B8" s="16">
        <v>7703.7699999999995</v>
      </c>
    </row>
    <row r="9" spans="1:2" x14ac:dyDescent="0.3">
      <c r="A9" s="4" t="s">
        <v>1045</v>
      </c>
      <c r="B9" s="16">
        <v>2276.35</v>
      </c>
    </row>
    <row r="10" spans="1:2" x14ac:dyDescent="0.3">
      <c r="A10" s="4" t="s">
        <v>1046</v>
      </c>
      <c r="B10" s="16">
        <v>665.52</v>
      </c>
    </row>
    <row r="11" spans="1:2" x14ac:dyDescent="0.3">
      <c r="A11" s="4" t="s">
        <v>1047</v>
      </c>
      <c r="B11" s="16">
        <v>687.76</v>
      </c>
    </row>
    <row r="12" spans="1:2" x14ac:dyDescent="0.3">
      <c r="A12" s="4" t="s">
        <v>1048</v>
      </c>
      <c r="B12" s="16">
        <v>5928.35</v>
      </c>
    </row>
    <row r="13" spans="1:2" x14ac:dyDescent="0.3">
      <c r="A13" s="4" t="s">
        <v>1049</v>
      </c>
      <c r="B13" s="16">
        <v>4681.34</v>
      </c>
    </row>
    <row r="14" spans="1:2" x14ac:dyDescent="0.3">
      <c r="A14" s="4" t="s">
        <v>1050</v>
      </c>
      <c r="B14" s="16">
        <v>3682.2799999999997</v>
      </c>
    </row>
    <row r="15" spans="1:2" x14ac:dyDescent="0.3">
      <c r="A15" s="3" t="s">
        <v>1039</v>
      </c>
      <c r="B15" s="16">
        <v>40566.92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771C7-8F55-4579-A684-870AAE924F44}">
  <dimension ref="A3:B5"/>
  <sheetViews>
    <sheetView workbookViewId="0">
      <selection activeCell="A20" sqref="A20"/>
    </sheetView>
  </sheetViews>
  <sheetFormatPr defaultRowHeight="14.4" x14ac:dyDescent="0.3"/>
  <cols>
    <col min="1" max="1" width="10.77734375" bestFit="1" customWidth="1"/>
    <col min="2" max="2" width="12.109375" bestFit="1" customWidth="1"/>
  </cols>
  <sheetData>
    <row r="3" spans="1:2" x14ac:dyDescent="0.3">
      <c r="A3" s="2" t="s">
        <v>1054</v>
      </c>
      <c r="B3" t="s">
        <v>1053</v>
      </c>
    </row>
    <row r="4" spans="1:2" x14ac:dyDescent="0.3">
      <c r="A4" s="3" t="s">
        <v>39</v>
      </c>
      <c r="B4" s="16">
        <v>10025.77</v>
      </c>
    </row>
    <row r="5" spans="1:2" x14ac:dyDescent="0.3">
      <c r="A5" s="3" t="s">
        <v>1039</v>
      </c>
      <c r="B5" s="16">
        <v>10025.77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DB1B0-23FC-4E1D-8139-AF90A368951C}">
  <dimension ref="A3:D4"/>
  <sheetViews>
    <sheetView workbookViewId="0">
      <selection activeCell="B4" sqref="B4"/>
    </sheetView>
  </sheetViews>
  <sheetFormatPr defaultRowHeight="14.4" x14ac:dyDescent="0.3"/>
  <cols>
    <col min="1" max="1" width="11.6640625" bestFit="1" customWidth="1"/>
    <col min="2" max="2" width="12.109375" bestFit="1" customWidth="1"/>
    <col min="3" max="3" width="14.88671875" bestFit="1" customWidth="1"/>
    <col min="4" max="4" width="16.44140625" bestFit="1" customWidth="1"/>
  </cols>
  <sheetData>
    <row r="3" spans="1:4" x14ac:dyDescent="0.3">
      <c r="A3" t="s">
        <v>1040</v>
      </c>
      <c r="B3" t="s">
        <v>1053</v>
      </c>
      <c r="C3" t="s">
        <v>1061</v>
      </c>
      <c r="D3" t="s">
        <v>1060</v>
      </c>
    </row>
    <row r="4" spans="1:4" x14ac:dyDescent="0.3">
      <c r="A4" s="16">
        <v>40566.92</v>
      </c>
      <c r="B4" s="16">
        <v>10025.77</v>
      </c>
      <c r="C4" s="16">
        <v>45</v>
      </c>
      <c r="D4" s="16">
        <v>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FBCBC-32A6-4164-9DF3-0B6149E75747}">
  <dimension ref="A1:M1001"/>
  <sheetViews>
    <sheetView topLeftCell="A2" workbookViewId="0">
      <selection activeCell="E18" sqref="E18"/>
    </sheetView>
  </sheetViews>
  <sheetFormatPr defaultRowHeight="14.4" x14ac:dyDescent="0.3"/>
  <cols>
    <col min="1" max="1" width="10.77734375" bestFit="1" customWidth="1"/>
    <col min="2" max="2" width="12.88671875" bestFit="1" customWidth="1"/>
    <col min="3" max="3" width="11.5546875" bestFit="1" customWidth="1"/>
    <col min="4" max="4" width="10.77734375" bestFit="1" customWidth="1"/>
    <col min="5" max="5" width="9" bestFit="1" customWidth="1"/>
    <col min="6" max="6" width="15.44140625" bestFit="1" customWidth="1"/>
    <col min="7" max="7" width="18.6640625" bestFit="1" customWidth="1"/>
    <col min="8" max="8" width="10.5546875" bestFit="1" customWidth="1"/>
    <col min="9" max="9" width="11.88671875" bestFit="1" customWidth="1"/>
    <col min="10" max="10" width="10" bestFit="1" customWidth="1"/>
    <col min="11" max="11" width="9" bestFit="1" customWidth="1"/>
  </cols>
  <sheetData>
    <row r="1" spans="1:13" x14ac:dyDescent="0.3">
      <c r="A1" t="s">
        <v>0</v>
      </c>
      <c r="B1" t="s">
        <v>1</v>
      </c>
      <c r="C1" t="s">
        <v>2</v>
      </c>
      <c r="D1" t="s">
        <v>3</v>
      </c>
      <c r="E1" t="s">
        <v>4</v>
      </c>
      <c r="F1" t="s">
        <v>5</v>
      </c>
      <c r="G1" t="s">
        <v>6</v>
      </c>
      <c r="H1" t="s">
        <v>7</v>
      </c>
      <c r="I1" t="s">
        <v>8</v>
      </c>
      <c r="J1" t="s">
        <v>9</v>
      </c>
      <c r="K1" t="s">
        <v>10</v>
      </c>
    </row>
    <row r="2" spans="1:13" x14ac:dyDescent="0.3">
      <c r="A2" t="s">
        <v>11</v>
      </c>
      <c r="B2" s="1">
        <v>45985</v>
      </c>
      <c r="C2" t="s">
        <v>12</v>
      </c>
      <c r="D2" t="s">
        <v>13</v>
      </c>
      <c r="E2" t="s">
        <v>14</v>
      </c>
      <c r="F2" t="s">
        <v>15</v>
      </c>
      <c r="G2" t="s">
        <v>16</v>
      </c>
      <c r="H2">
        <v>1</v>
      </c>
      <c r="I2">
        <v>17190.11</v>
      </c>
      <c r="J2">
        <v>17190.11</v>
      </c>
      <c r="K2">
        <v>5534.62</v>
      </c>
      <c r="M2" cm="1">
        <f t="array" ref="M2">COUNTA(SalesData[Order_ID])-SUMPRODUCT((SalesData[Order_ID]&lt;&gt;"")/COUNTIF(SalesData[Order_ID],SalesData[Order_ID]&amp;""))</f>
        <v>0</v>
      </c>
    </row>
    <row r="3" spans="1:13" x14ac:dyDescent="0.3">
      <c r="A3" t="s">
        <v>17</v>
      </c>
      <c r="B3" s="1">
        <v>45874</v>
      </c>
      <c r="C3" t="s">
        <v>18</v>
      </c>
      <c r="D3" t="s">
        <v>13</v>
      </c>
      <c r="E3" t="s">
        <v>14</v>
      </c>
      <c r="F3" t="s">
        <v>15</v>
      </c>
      <c r="G3" t="s">
        <v>16</v>
      </c>
      <c r="H3">
        <v>1</v>
      </c>
      <c r="I3">
        <v>39636.559999999998</v>
      </c>
      <c r="J3">
        <v>39636.559999999998</v>
      </c>
      <c r="K3">
        <v>9853.9500000000007</v>
      </c>
    </row>
    <row r="4" spans="1:13" x14ac:dyDescent="0.3">
      <c r="A4" t="s">
        <v>19</v>
      </c>
      <c r="B4" s="1">
        <v>45872</v>
      </c>
      <c r="C4" t="s">
        <v>20</v>
      </c>
      <c r="D4" t="s">
        <v>21</v>
      </c>
      <c r="E4" t="s">
        <v>22</v>
      </c>
      <c r="F4" t="s">
        <v>23</v>
      </c>
      <c r="G4" t="s">
        <v>24</v>
      </c>
      <c r="H4">
        <v>2</v>
      </c>
      <c r="I4">
        <v>6211.65</v>
      </c>
      <c r="J4">
        <v>12423.3</v>
      </c>
      <c r="K4">
        <v>1912.96</v>
      </c>
    </row>
    <row r="5" spans="1:13" x14ac:dyDescent="0.3">
      <c r="A5" t="s">
        <v>25</v>
      </c>
      <c r="B5" s="1">
        <v>45800</v>
      </c>
      <c r="C5" t="s">
        <v>26</v>
      </c>
      <c r="D5" t="s">
        <v>13</v>
      </c>
      <c r="E5" t="s">
        <v>27</v>
      </c>
      <c r="F5" t="s">
        <v>15</v>
      </c>
      <c r="G5" t="s">
        <v>24</v>
      </c>
      <c r="H5">
        <v>1</v>
      </c>
      <c r="I5">
        <v>1894.86</v>
      </c>
      <c r="J5">
        <v>1894.86</v>
      </c>
      <c r="K5">
        <v>669.69</v>
      </c>
    </row>
    <row r="6" spans="1:13" x14ac:dyDescent="0.3">
      <c r="A6" t="s">
        <v>28</v>
      </c>
      <c r="B6" s="1">
        <v>45834</v>
      </c>
      <c r="C6" t="s">
        <v>29</v>
      </c>
      <c r="D6" t="s">
        <v>13</v>
      </c>
      <c r="E6" t="s">
        <v>14</v>
      </c>
      <c r="F6" t="s">
        <v>23</v>
      </c>
      <c r="G6" t="s">
        <v>30</v>
      </c>
      <c r="H6">
        <v>1</v>
      </c>
      <c r="I6">
        <v>10904.28</v>
      </c>
      <c r="J6">
        <v>10904.28</v>
      </c>
      <c r="K6">
        <v>2841.11</v>
      </c>
    </row>
    <row r="7" spans="1:13" x14ac:dyDescent="0.3">
      <c r="A7" t="s">
        <v>31</v>
      </c>
      <c r="B7" s="1">
        <v>45940</v>
      </c>
      <c r="C7" t="s">
        <v>32</v>
      </c>
      <c r="D7" t="s">
        <v>21</v>
      </c>
      <c r="E7" t="s">
        <v>33</v>
      </c>
      <c r="F7" t="s">
        <v>15</v>
      </c>
      <c r="G7" t="s">
        <v>30</v>
      </c>
      <c r="H7">
        <v>3</v>
      </c>
      <c r="I7">
        <v>9213.34</v>
      </c>
      <c r="J7">
        <v>27640.02</v>
      </c>
      <c r="K7">
        <v>4310.63</v>
      </c>
    </row>
    <row r="8" spans="1:13" x14ac:dyDescent="0.3">
      <c r="A8" t="s">
        <v>34</v>
      </c>
      <c r="B8" s="1">
        <v>45681</v>
      </c>
      <c r="C8" t="s">
        <v>35</v>
      </c>
      <c r="D8" t="s">
        <v>13</v>
      </c>
      <c r="E8" t="s">
        <v>22</v>
      </c>
      <c r="F8" t="s">
        <v>15</v>
      </c>
      <c r="G8" t="s">
        <v>36</v>
      </c>
      <c r="H8">
        <v>1</v>
      </c>
      <c r="I8">
        <v>862.09</v>
      </c>
      <c r="J8">
        <v>862.09</v>
      </c>
      <c r="K8">
        <v>309.70999999999998</v>
      </c>
    </row>
    <row r="9" spans="1:13" x14ac:dyDescent="0.3">
      <c r="A9" t="s">
        <v>37</v>
      </c>
      <c r="B9" s="1">
        <v>45800</v>
      </c>
      <c r="C9" t="s">
        <v>38</v>
      </c>
      <c r="D9" t="s">
        <v>39</v>
      </c>
      <c r="E9" t="s">
        <v>22</v>
      </c>
      <c r="F9" t="s">
        <v>23</v>
      </c>
      <c r="G9" t="s">
        <v>30</v>
      </c>
      <c r="H9">
        <v>2</v>
      </c>
      <c r="I9">
        <v>1167.56</v>
      </c>
      <c r="J9">
        <v>2335.12</v>
      </c>
      <c r="K9">
        <v>662.6</v>
      </c>
    </row>
    <row r="10" spans="1:13" x14ac:dyDescent="0.3">
      <c r="A10" t="s">
        <v>40</v>
      </c>
      <c r="B10" s="1">
        <v>45969</v>
      </c>
      <c r="C10" t="s">
        <v>35</v>
      </c>
      <c r="D10" t="s">
        <v>13</v>
      </c>
      <c r="E10" t="s">
        <v>27</v>
      </c>
      <c r="F10" t="s">
        <v>23</v>
      </c>
      <c r="G10" t="s">
        <v>16</v>
      </c>
      <c r="H10">
        <v>1</v>
      </c>
      <c r="I10">
        <v>941.24</v>
      </c>
      <c r="J10">
        <v>941.24</v>
      </c>
      <c r="K10">
        <v>317.68</v>
      </c>
    </row>
    <row r="11" spans="1:13" x14ac:dyDescent="0.3">
      <c r="A11" t="s">
        <v>41</v>
      </c>
      <c r="B11" s="1">
        <v>45770</v>
      </c>
      <c r="C11" t="s">
        <v>35</v>
      </c>
      <c r="D11" t="s">
        <v>13</v>
      </c>
      <c r="E11" t="s">
        <v>14</v>
      </c>
      <c r="F11" t="s">
        <v>23</v>
      </c>
      <c r="G11" t="s">
        <v>36</v>
      </c>
      <c r="H11">
        <v>1</v>
      </c>
      <c r="I11">
        <v>948.3</v>
      </c>
      <c r="J11">
        <v>948.3</v>
      </c>
      <c r="K11">
        <v>346.56</v>
      </c>
    </row>
    <row r="12" spans="1:13" x14ac:dyDescent="0.3">
      <c r="A12" t="s">
        <v>42</v>
      </c>
      <c r="B12" s="1">
        <v>45795</v>
      </c>
      <c r="C12" t="s">
        <v>12</v>
      </c>
      <c r="D12" t="s">
        <v>13</v>
      </c>
      <c r="E12" t="s">
        <v>43</v>
      </c>
      <c r="F12" t="s">
        <v>15</v>
      </c>
      <c r="G12" t="s">
        <v>36</v>
      </c>
      <c r="H12">
        <v>1</v>
      </c>
      <c r="I12">
        <v>19594.47</v>
      </c>
      <c r="J12">
        <v>19594.47</v>
      </c>
      <c r="K12">
        <v>2981.19</v>
      </c>
    </row>
    <row r="13" spans="1:13" x14ac:dyDescent="0.3">
      <c r="A13" t="s">
        <v>44</v>
      </c>
      <c r="B13" s="1">
        <v>45860</v>
      </c>
      <c r="C13" t="s">
        <v>35</v>
      </c>
      <c r="D13" t="s">
        <v>13</v>
      </c>
      <c r="E13" t="s">
        <v>33</v>
      </c>
      <c r="F13" t="s">
        <v>23</v>
      </c>
      <c r="G13" t="s">
        <v>16</v>
      </c>
      <c r="H13">
        <v>2</v>
      </c>
      <c r="I13">
        <v>857.68</v>
      </c>
      <c r="J13">
        <v>1715.36</v>
      </c>
      <c r="K13">
        <v>541.84</v>
      </c>
    </row>
    <row r="14" spans="1:13" x14ac:dyDescent="0.3">
      <c r="A14" t="s">
        <v>45</v>
      </c>
      <c r="B14" s="1">
        <v>45877</v>
      </c>
      <c r="C14" t="s">
        <v>29</v>
      </c>
      <c r="D14" t="s">
        <v>13</v>
      </c>
      <c r="E14" t="s">
        <v>33</v>
      </c>
      <c r="F14" t="s">
        <v>23</v>
      </c>
      <c r="G14" t="s">
        <v>30</v>
      </c>
      <c r="H14">
        <v>1</v>
      </c>
      <c r="I14">
        <v>11326.37</v>
      </c>
      <c r="J14">
        <v>11326.37</v>
      </c>
      <c r="K14">
        <v>1366.42</v>
      </c>
    </row>
    <row r="15" spans="1:13" x14ac:dyDescent="0.3">
      <c r="A15" t="s">
        <v>46</v>
      </c>
      <c r="B15" s="1">
        <v>45682</v>
      </c>
      <c r="C15" t="s">
        <v>12</v>
      </c>
      <c r="D15" t="s">
        <v>13</v>
      </c>
      <c r="E15" t="s">
        <v>33</v>
      </c>
      <c r="F15" t="s">
        <v>15</v>
      </c>
      <c r="G15" t="s">
        <v>36</v>
      </c>
      <c r="H15">
        <v>1</v>
      </c>
      <c r="I15">
        <v>16775.939999999999</v>
      </c>
      <c r="J15">
        <v>16775.939999999999</v>
      </c>
      <c r="K15">
        <v>3406.77</v>
      </c>
    </row>
    <row r="16" spans="1:13" x14ac:dyDescent="0.3">
      <c r="A16" t="s">
        <v>47</v>
      </c>
      <c r="B16" s="1">
        <v>45853</v>
      </c>
      <c r="C16" t="s">
        <v>29</v>
      </c>
      <c r="D16" t="s">
        <v>13</v>
      </c>
      <c r="E16" t="s">
        <v>14</v>
      </c>
      <c r="F16" t="s">
        <v>15</v>
      </c>
      <c r="G16" t="s">
        <v>16</v>
      </c>
      <c r="H16">
        <v>5</v>
      </c>
      <c r="I16">
        <v>12069.87</v>
      </c>
      <c r="J16">
        <v>60349.35</v>
      </c>
      <c r="K16">
        <v>7695.73</v>
      </c>
    </row>
    <row r="17" spans="1:11" x14ac:dyDescent="0.3">
      <c r="A17" t="s">
        <v>48</v>
      </c>
      <c r="B17" s="1">
        <v>45794</v>
      </c>
      <c r="C17" t="s">
        <v>35</v>
      </c>
      <c r="D17" t="s">
        <v>13</v>
      </c>
      <c r="E17" t="s">
        <v>14</v>
      </c>
      <c r="F17" t="s">
        <v>23</v>
      </c>
      <c r="G17" t="s">
        <v>16</v>
      </c>
      <c r="H17">
        <v>1</v>
      </c>
      <c r="I17">
        <v>862.83</v>
      </c>
      <c r="J17">
        <v>862.83</v>
      </c>
      <c r="K17">
        <v>292.39</v>
      </c>
    </row>
    <row r="18" spans="1:11" x14ac:dyDescent="0.3">
      <c r="A18" t="s">
        <v>49</v>
      </c>
      <c r="B18" s="1">
        <v>45749</v>
      </c>
      <c r="C18" t="s">
        <v>50</v>
      </c>
      <c r="D18" t="s">
        <v>39</v>
      </c>
      <c r="E18" t="s">
        <v>33</v>
      </c>
      <c r="F18" t="s">
        <v>15</v>
      </c>
      <c r="G18" t="s">
        <v>51</v>
      </c>
      <c r="H18">
        <v>4</v>
      </c>
      <c r="I18">
        <v>375.94</v>
      </c>
      <c r="J18">
        <v>1503.76</v>
      </c>
      <c r="K18">
        <v>454.74</v>
      </c>
    </row>
    <row r="19" spans="1:11" x14ac:dyDescent="0.3">
      <c r="A19" t="s">
        <v>52</v>
      </c>
      <c r="B19" s="1">
        <v>45849</v>
      </c>
      <c r="C19" t="s">
        <v>26</v>
      </c>
      <c r="D19" t="s">
        <v>13</v>
      </c>
      <c r="E19" t="s">
        <v>14</v>
      </c>
      <c r="F19" t="s">
        <v>23</v>
      </c>
      <c r="G19" t="s">
        <v>36</v>
      </c>
      <c r="H19">
        <v>2</v>
      </c>
      <c r="I19">
        <v>1900.31</v>
      </c>
      <c r="J19">
        <v>3800.62</v>
      </c>
      <c r="K19">
        <v>920.16</v>
      </c>
    </row>
    <row r="20" spans="1:11" x14ac:dyDescent="0.3">
      <c r="A20" t="s">
        <v>53</v>
      </c>
      <c r="B20" s="1">
        <v>45667</v>
      </c>
      <c r="C20" t="s">
        <v>12</v>
      </c>
      <c r="D20" t="s">
        <v>13</v>
      </c>
      <c r="E20" t="s">
        <v>43</v>
      </c>
      <c r="F20" t="s">
        <v>15</v>
      </c>
      <c r="G20" t="s">
        <v>30</v>
      </c>
      <c r="H20">
        <v>4</v>
      </c>
      <c r="I20">
        <v>19363.400000000001</v>
      </c>
      <c r="J20">
        <v>77453.600000000006</v>
      </c>
      <c r="K20">
        <v>12684.34</v>
      </c>
    </row>
    <row r="21" spans="1:11" x14ac:dyDescent="0.3">
      <c r="A21" t="s">
        <v>54</v>
      </c>
      <c r="B21" s="1">
        <v>45781</v>
      </c>
      <c r="C21" t="s">
        <v>29</v>
      </c>
      <c r="D21" t="s">
        <v>13</v>
      </c>
      <c r="E21" t="s">
        <v>14</v>
      </c>
      <c r="F21" t="s">
        <v>15</v>
      </c>
      <c r="G21" t="s">
        <v>51</v>
      </c>
      <c r="H21">
        <v>4</v>
      </c>
      <c r="I21">
        <v>11005.57</v>
      </c>
      <c r="J21">
        <v>44022.28</v>
      </c>
      <c r="K21">
        <v>11165.92</v>
      </c>
    </row>
    <row r="22" spans="1:11" x14ac:dyDescent="0.3">
      <c r="A22" t="s">
        <v>55</v>
      </c>
      <c r="B22" s="1">
        <v>45995</v>
      </c>
      <c r="C22" t="s">
        <v>38</v>
      </c>
      <c r="D22" t="s">
        <v>39</v>
      </c>
      <c r="E22" t="s">
        <v>33</v>
      </c>
      <c r="F22" t="s">
        <v>23</v>
      </c>
      <c r="G22" t="s">
        <v>51</v>
      </c>
      <c r="H22">
        <v>4</v>
      </c>
      <c r="I22">
        <v>1119.6300000000001</v>
      </c>
      <c r="J22">
        <v>4478.5200000000004</v>
      </c>
      <c r="K22">
        <v>1087.4100000000001</v>
      </c>
    </row>
    <row r="23" spans="1:11" x14ac:dyDescent="0.3">
      <c r="A23" t="s">
        <v>56</v>
      </c>
      <c r="B23" s="1">
        <v>45934</v>
      </c>
      <c r="C23" t="s">
        <v>57</v>
      </c>
      <c r="D23" t="s">
        <v>13</v>
      </c>
      <c r="E23" t="s">
        <v>43</v>
      </c>
      <c r="F23" t="s">
        <v>23</v>
      </c>
      <c r="G23" t="s">
        <v>16</v>
      </c>
      <c r="H23">
        <v>2</v>
      </c>
      <c r="I23">
        <v>521.29</v>
      </c>
      <c r="J23">
        <v>1042.58</v>
      </c>
      <c r="K23">
        <v>288.02999999999997</v>
      </c>
    </row>
    <row r="24" spans="1:11" x14ac:dyDescent="0.3">
      <c r="A24" t="s">
        <v>58</v>
      </c>
      <c r="B24" s="1">
        <v>45889</v>
      </c>
      <c r="C24" t="s">
        <v>12</v>
      </c>
      <c r="D24" t="s">
        <v>13</v>
      </c>
      <c r="E24" t="s">
        <v>33</v>
      </c>
      <c r="F24" t="s">
        <v>15</v>
      </c>
      <c r="G24" t="s">
        <v>16</v>
      </c>
      <c r="H24">
        <v>1</v>
      </c>
      <c r="I24">
        <v>16430.490000000002</v>
      </c>
      <c r="J24">
        <v>16430.490000000002</v>
      </c>
      <c r="K24">
        <v>6153.73</v>
      </c>
    </row>
    <row r="25" spans="1:11" x14ac:dyDescent="0.3">
      <c r="A25" t="s">
        <v>59</v>
      </c>
      <c r="B25" s="1">
        <v>45770</v>
      </c>
      <c r="C25" t="s">
        <v>18</v>
      </c>
      <c r="D25" t="s">
        <v>13</v>
      </c>
      <c r="E25" t="s">
        <v>14</v>
      </c>
      <c r="F25" t="s">
        <v>23</v>
      </c>
      <c r="G25" t="s">
        <v>30</v>
      </c>
      <c r="H25">
        <v>1</v>
      </c>
      <c r="I25">
        <v>43101.26</v>
      </c>
      <c r="J25">
        <v>43101.26</v>
      </c>
      <c r="K25">
        <v>13812.88</v>
      </c>
    </row>
    <row r="26" spans="1:11" x14ac:dyDescent="0.3">
      <c r="A26" t="s">
        <v>60</v>
      </c>
      <c r="B26" s="1">
        <v>45921</v>
      </c>
      <c r="C26" t="s">
        <v>20</v>
      </c>
      <c r="D26" t="s">
        <v>21</v>
      </c>
      <c r="E26" t="s">
        <v>33</v>
      </c>
      <c r="F26" t="s">
        <v>23</v>
      </c>
      <c r="G26" t="s">
        <v>51</v>
      </c>
      <c r="H26">
        <v>1</v>
      </c>
      <c r="I26">
        <v>6481.04</v>
      </c>
      <c r="J26">
        <v>6481.04</v>
      </c>
      <c r="K26">
        <v>1554.15</v>
      </c>
    </row>
    <row r="27" spans="1:11" x14ac:dyDescent="0.3">
      <c r="A27" t="s">
        <v>61</v>
      </c>
      <c r="B27" s="1">
        <v>45900</v>
      </c>
      <c r="C27" t="s">
        <v>62</v>
      </c>
      <c r="D27" t="s">
        <v>63</v>
      </c>
      <c r="E27" t="s">
        <v>27</v>
      </c>
      <c r="F27" t="s">
        <v>23</v>
      </c>
      <c r="G27" t="s">
        <v>36</v>
      </c>
      <c r="H27">
        <v>1</v>
      </c>
      <c r="I27">
        <v>110.33</v>
      </c>
      <c r="J27">
        <v>110.33</v>
      </c>
      <c r="K27">
        <v>29.56</v>
      </c>
    </row>
    <row r="28" spans="1:11" x14ac:dyDescent="0.3">
      <c r="A28" t="s">
        <v>64</v>
      </c>
      <c r="B28" s="1">
        <v>45685</v>
      </c>
      <c r="C28" t="s">
        <v>35</v>
      </c>
      <c r="D28" t="s">
        <v>13</v>
      </c>
      <c r="E28" t="s">
        <v>43</v>
      </c>
      <c r="F28" t="s">
        <v>15</v>
      </c>
      <c r="G28" t="s">
        <v>51</v>
      </c>
      <c r="H28">
        <v>2</v>
      </c>
      <c r="I28">
        <v>926.31</v>
      </c>
      <c r="J28">
        <v>1852.62</v>
      </c>
      <c r="K28">
        <v>674.8</v>
      </c>
    </row>
    <row r="29" spans="1:11" x14ac:dyDescent="0.3">
      <c r="A29" t="s">
        <v>65</v>
      </c>
      <c r="B29" s="1">
        <v>45756</v>
      </c>
      <c r="C29" t="s">
        <v>20</v>
      </c>
      <c r="D29" t="s">
        <v>21</v>
      </c>
      <c r="E29" t="s">
        <v>27</v>
      </c>
      <c r="F29" t="s">
        <v>15</v>
      </c>
      <c r="G29" t="s">
        <v>30</v>
      </c>
      <c r="H29">
        <v>2</v>
      </c>
      <c r="I29">
        <v>6032.24</v>
      </c>
      <c r="J29">
        <v>12064.48</v>
      </c>
      <c r="K29">
        <v>4008.94</v>
      </c>
    </row>
    <row r="30" spans="1:11" x14ac:dyDescent="0.3">
      <c r="A30" t="s">
        <v>66</v>
      </c>
      <c r="B30" s="1">
        <v>45884</v>
      </c>
      <c r="C30" t="s">
        <v>50</v>
      </c>
      <c r="D30" t="s">
        <v>39</v>
      </c>
      <c r="E30" t="s">
        <v>14</v>
      </c>
      <c r="F30" t="s">
        <v>15</v>
      </c>
      <c r="G30" t="s">
        <v>51</v>
      </c>
      <c r="H30">
        <v>1</v>
      </c>
      <c r="I30">
        <v>360.65</v>
      </c>
      <c r="J30">
        <v>360.65</v>
      </c>
      <c r="K30">
        <v>86.36</v>
      </c>
    </row>
    <row r="31" spans="1:11" x14ac:dyDescent="0.3">
      <c r="A31" t="s">
        <v>67</v>
      </c>
      <c r="B31" s="1">
        <v>45743</v>
      </c>
      <c r="C31" t="s">
        <v>62</v>
      </c>
      <c r="D31" t="s">
        <v>63</v>
      </c>
      <c r="E31" t="s">
        <v>14</v>
      </c>
      <c r="F31" t="s">
        <v>15</v>
      </c>
      <c r="G31" t="s">
        <v>36</v>
      </c>
      <c r="H31">
        <v>2</v>
      </c>
      <c r="I31">
        <v>113.13</v>
      </c>
      <c r="J31">
        <v>226.26</v>
      </c>
      <c r="K31">
        <v>62.39</v>
      </c>
    </row>
    <row r="32" spans="1:11" x14ac:dyDescent="0.3">
      <c r="A32" t="s">
        <v>68</v>
      </c>
      <c r="B32" s="1">
        <v>45659</v>
      </c>
      <c r="C32" t="s">
        <v>62</v>
      </c>
      <c r="D32" t="s">
        <v>63</v>
      </c>
      <c r="E32" t="s">
        <v>27</v>
      </c>
      <c r="F32" t="s">
        <v>23</v>
      </c>
      <c r="G32" t="s">
        <v>51</v>
      </c>
      <c r="H32">
        <v>1</v>
      </c>
      <c r="I32">
        <v>126.82</v>
      </c>
      <c r="J32">
        <v>126.82</v>
      </c>
      <c r="K32">
        <v>33.19</v>
      </c>
    </row>
    <row r="33" spans="1:11" x14ac:dyDescent="0.3">
      <c r="A33" t="s">
        <v>69</v>
      </c>
      <c r="B33" s="1">
        <v>45755</v>
      </c>
      <c r="C33" t="s">
        <v>32</v>
      </c>
      <c r="D33" t="s">
        <v>21</v>
      </c>
      <c r="E33" t="s">
        <v>14</v>
      </c>
      <c r="F33" t="s">
        <v>23</v>
      </c>
      <c r="G33" t="s">
        <v>30</v>
      </c>
      <c r="H33">
        <v>1</v>
      </c>
      <c r="I33">
        <v>8205.27</v>
      </c>
      <c r="J33">
        <v>8205.27</v>
      </c>
      <c r="K33">
        <v>1548.4</v>
      </c>
    </row>
    <row r="34" spans="1:11" x14ac:dyDescent="0.3">
      <c r="A34" t="s">
        <v>70</v>
      </c>
      <c r="B34" s="1">
        <v>45683</v>
      </c>
      <c r="C34" t="s">
        <v>29</v>
      </c>
      <c r="D34" t="s">
        <v>13</v>
      </c>
      <c r="E34" t="s">
        <v>14</v>
      </c>
      <c r="F34" t="s">
        <v>15</v>
      </c>
      <c r="G34" t="s">
        <v>51</v>
      </c>
      <c r="H34">
        <v>2</v>
      </c>
      <c r="I34">
        <v>13006.53</v>
      </c>
      <c r="J34">
        <v>26013.06</v>
      </c>
      <c r="K34">
        <v>6292.75</v>
      </c>
    </row>
    <row r="35" spans="1:11" x14ac:dyDescent="0.3">
      <c r="A35" t="s">
        <v>71</v>
      </c>
      <c r="B35" s="1">
        <v>45693</v>
      </c>
      <c r="C35" t="s">
        <v>29</v>
      </c>
      <c r="D35" t="s">
        <v>13</v>
      </c>
      <c r="E35" t="s">
        <v>33</v>
      </c>
      <c r="F35" t="s">
        <v>15</v>
      </c>
      <c r="G35" t="s">
        <v>16</v>
      </c>
      <c r="H35">
        <v>1</v>
      </c>
      <c r="I35">
        <v>12868.37</v>
      </c>
      <c r="J35">
        <v>12868.37</v>
      </c>
      <c r="K35">
        <v>3539.04</v>
      </c>
    </row>
    <row r="36" spans="1:11" x14ac:dyDescent="0.3">
      <c r="A36" t="s">
        <v>72</v>
      </c>
      <c r="B36" s="1">
        <v>45962</v>
      </c>
      <c r="C36" t="s">
        <v>18</v>
      </c>
      <c r="D36" t="s">
        <v>13</v>
      </c>
      <c r="E36" t="s">
        <v>33</v>
      </c>
      <c r="F36" t="s">
        <v>23</v>
      </c>
      <c r="G36" t="s">
        <v>24</v>
      </c>
      <c r="H36">
        <v>2</v>
      </c>
      <c r="I36">
        <v>41321.49</v>
      </c>
      <c r="J36">
        <v>82642.98</v>
      </c>
      <c r="K36">
        <v>18862.86</v>
      </c>
    </row>
    <row r="37" spans="1:11" x14ac:dyDescent="0.3">
      <c r="A37" t="s">
        <v>73</v>
      </c>
      <c r="B37" s="1">
        <v>45762</v>
      </c>
      <c r="C37" t="s">
        <v>35</v>
      </c>
      <c r="D37" t="s">
        <v>13</v>
      </c>
      <c r="E37" t="s">
        <v>43</v>
      </c>
      <c r="F37" t="s">
        <v>23</v>
      </c>
      <c r="G37" t="s">
        <v>24</v>
      </c>
      <c r="H37">
        <v>3</v>
      </c>
      <c r="I37">
        <v>852.96</v>
      </c>
      <c r="J37">
        <v>2558.88</v>
      </c>
      <c r="K37">
        <v>709.05</v>
      </c>
    </row>
    <row r="38" spans="1:11" x14ac:dyDescent="0.3">
      <c r="A38" t="s">
        <v>74</v>
      </c>
      <c r="B38" s="1">
        <v>45695</v>
      </c>
      <c r="C38" t="s">
        <v>18</v>
      </c>
      <c r="D38" t="s">
        <v>13</v>
      </c>
      <c r="E38" t="s">
        <v>14</v>
      </c>
      <c r="F38" t="s">
        <v>15</v>
      </c>
      <c r="G38" t="s">
        <v>16</v>
      </c>
      <c r="H38">
        <v>2</v>
      </c>
      <c r="I38">
        <v>46187.02</v>
      </c>
      <c r="J38">
        <v>92374.04</v>
      </c>
      <c r="K38">
        <v>11178.64</v>
      </c>
    </row>
    <row r="39" spans="1:11" x14ac:dyDescent="0.3">
      <c r="A39" t="s">
        <v>75</v>
      </c>
      <c r="B39" s="1">
        <v>45793</v>
      </c>
      <c r="C39" t="s">
        <v>26</v>
      </c>
      <c r="D39" t="s">
        <v>13</v>
      </c>
      <c r="E39" t="s">
        <v>43</v>
      </c>
      <c r="F39" t="s">
        <v>23</v>
      </c>
      <c r="G39" t="s">
        <v>51</v>
      </c>
      <c r="H39">
        <v>4</v>
      </c>
      <c r="I39">
        <v>1937.11</v>
      </c>
      <c r="J39">
        <v>7748.44</v>
      </c>
      <c r="K39">
        <v>1173.03</v>
      </c>
    </row>
    <row r="40" spans="1:11" x14ac:dyDescent="0.3">
      <c r="A40" t="s">
        <v>76</v>
      </c>
      <c r="B40" s="1">
        <v>45882</v>
      </c>
      <c r="C40" t="s">
        <v>50</v>
      </c>
      <c r="D40" t="s">
        <v>39</v>
      </c>
      <c r="E40" t="s">
        <v>33</v>
      </c>
      <c r="F40" t="s">
        <v>15</v>
      </c>
      <c r="G40" t="s">
        <v>16</v>
      </c>
      <c r="H40">
        <v>3</v>
      </c>
      <c r="I40">
        <v>357.82</v>
      </c>
      <c r="J40">
        <v>1073.46</v>
      </c>
      <c r="K40">
        <v>132.38</v>
      </c>
    </row>
    <row r="41" spans="1:11" x14ac:dyDescent="0.3">
      <c r="A41" t="s">
        <v>77</v>
      </c>
      <c r="B41" s="1">
        <v>45811</v>
      </c>
      <c r="C41" t="s">
        <v>35</v>
      </c>
      <c r="D41" t="s">
        <v>13</v>
      </c>
      <c r="E41" t="s">
        <v>14</v>
      </c>
      <c r="F41" t="s">
        <v>15</v>
      </c>
      <c r="G41" t="s">
        <v>24</v>
      </c>
      <c r="H41">
        <v>1</v>
      </c>
      <c r="I41">
        <v>968.06</v>
      </c>
      <c r="J41">
        <v>968.06</v>
      </c>
      <c r="K41">
        <v>301.3</v>
      </c>
    </row>
    <row r="42" spans="1:11" x14ac:dyDescent="0.3">
      <c r="A42" t="s">
        <v>78</v>
      </c>
      <c r="B42" s="1">
        <v>45802</v>
      </c>
      <c r="C42" t="s">
        <v>29</v>
      </c>
      <c r="D42" t="s">
        <v>13</v>
      </c>
      <c r="E42" t="s">
        <v>43</v>
      </c>
      <c r="F42" t="s">
        <v>23</v>
      </c>
      <c r="G42" t="s">
        <v>24</v>
      </c>
      <c r="H42">
        <v>1</v>
      </c>
      <c r="I42">
        <v>11622.91</v>
      </c>
      <c r="J42">
        <v>11622.91</v>
      </c>
      <c r="K42">
        <v>2339.12</v>
      </c>
    </row>
    <row r="43" spans="1:11" x14ac:dyDescent="0.3">
      <c r="A43" t="s">
        <v>79</v>
      </c>
      <c r="B43" s="1">
        <v>45684</v>
      </c>
      <c r="C43" t="s">
        <v>12</v>
      </c>
      <c r="D43" t="s">
        <v>13</v>
      </c>
      <c r="E43" t="s">
        <v>43</v>
      </c>
      <c r="F43" t="s">
        <v>15</v>
      </c>
      <c r="G43" t="s">
        <v>24</v>
      </c>
      <c r="H43">
        <v>2</v>
      </c>
      <c r="I43">
        <v>19185.650000000001</v>
      </c>
      <c r="J43">
        <v>38371.300000000003</v>
      </c>
      <c r="K43">
        <v>14141.26</v>
      </c>
    </row>
    <row r="44" spans="1:11" x14ac:dyDescent="0.3">
      <c r="A44" t="s">
        <v>80</v>
      </c>
      <c r="B44" s="1">
        <v>45740</v>
      </c>
      <c r="C44" t="s">
        <v>57</v>
      </c>
      <c r="D44" t="s">
        <v>13</v>
      </c>
      <c r="E44" t="s">
        <v>14</v>
      </c>
      <c r="F44" t="s">
        <v>15</v>
      </c>
      <c r="G44" t="s">
        <v>51</v>
      </c>
      <c r="H44">
        <v>2</v>
      </c>
      <c r="I44">
        <v>520.57000000000005</v>
      </c>
      <c r="J44">
        <v>1041.1400000000001</v>
      </c>
      <c r="K44">
        <v>243.8</v>
      </c>
    </row>
    <row r="45" spans="1:11" x14ac:dyDescent="0.3">
      <c r="A45" t="s">
        <v>81</v>
      </c>
      <c r="B45" s="1">
        <v>45937</v>
      </c>
      <c r="C45" t="s">
        <v>18</v>
      </c>
      <c r="D45" t="s">
        <v>13</v>
      </c>
      <c r="E45" t="s">
        <v>22</v>
      </c>
      <c r="F45" t="s">
        <v>15</v>
      </c>
      <c r="G45" t="s">
        <v>24</v>
      </c>
      <c r="H45">
        <v>3</v>
      </c>
      <c r="I45">
        <v>42693.08</v>
      </c>
      <c r="J45">
        <v>128079.24</v>
      </c>
      <c r="K45">
        <v>43738.5</v>
      </c>
    </row>
    <row r="46" spans="1:11" x14ac:dyDescent="0.3">
      <c r="A46" t="s">
        <v>82</v>
      </c>
      <c r="B46" s="1">
        <v>45844</v>
      </c>
      <c r="C46" t="s">
        <v>18</v>
      </c>
      <c r="D46" t="s">
        <v>13</v>
      </c>
      <c r="E46" t="s">
        <v>14</v>
      </c>
      <c r="F46" t="s">
        <v>23</v>
      </c>
      <c r="G46" t="s">
        <v>16</v>
      </c>
      <c r="H46">
        <v>4</v>
      </c>
      <c r="I46">
        <v>39564.639999999999</v>
      </c>
      <c r="J46">
        <v>158258.56</v>
      </c>
      <c r="K46">
        <v>49870.8</v>
      </c>
    </row>
    <row r="47" spans="1:11" x14ac:dyDescent="0.3">
      <c r="A47" t="s">
        <v>83</v>
      </c>
      <c r="B47" s="1">
        <v>45866</v>
      </c>
      <c r="C47" t="s">
        <v>29</v>
      </c>
      <c r="D47" t="s">
        <v>13</v>
      </c>
      <c r="E47" t="s">
        <v>22</v>
      </c>
      <c r="F47" t="s">
        <v>15</v>
      </c>
      <c r="G47" t="s">
        <v>36</v>
      </c>
      <c r="H47">
        <v>3</v>
      </c>
      <c r="I47">
        <v>13021.83</v>
      </c>
      <c r="J47">
        <v>39065.49</v>
      </c>
      <c r="K47">
        <v>12440.34</v>
      </c>
    </row>
    <row r="48" spans="1:11" x14ac:dyDescent="0.3">
      <c r="A48" t="s">
        <v>84</v>
      </c>
      <c r="B48" s="1">
        <v>45670</v>
      </c>
      <c r="C48" t="s">
        <v>26</v>
      </c>
      <c r="D48" t="s">
        <v>13</v>
      </c>
      <c r="E48" t="s">
        <v>22</v>
      </c>
      <c r="F48" t="s">
        <v>23</v>
      </c>
      <c r="G48" t="s">
        <v>51</v>
      </c>
      <c r="H48">
        <v>3</v>
      </c>
      <c r="I48">
        <v>1739.59</v>
      </c>
      <c r="J48">
        <v>5218.7700000000004</v>
      </c>
      <c r="K48">
        <v>720.13</v>
      </c>
    </row>
    <row r="49" spans="1:11" x14ac:dyDescent="0.3">
      <c r="A49" t="s">
        <v>85</v>
      </c>
      <c r="B49" s="1">
        <v>46017</v>
      </c>
      <c r="C49" t="s">
        <v>12</v>
      </c>
      <c r="D49" t="s">
        <v>13</v>
      </c>
      <c r="E49" t="s">
        <v>22</v>
      </c>
      <c r="F49" t="s">
        <v>23</v>
      </c>
      <c r="G49" t="s">
        <v>24</v>
      </c>
      <c r="H49">
        <v>1</v>
      </c>
      <c r="I49">
        <v>16339.41</v>
      </c>
      <c r="J49">
        <v>16339.41</v>
      </c>
      <c r="K49">
        <v>4209.37</v>
      </c>
    </row>
    <row r="50" spans="1:11" x14ac:dyDescent="0.3">
      <c r="A50" t="s">
        <v>86</v>
      </c>
      <c r="B50" s="1">
        <v>45814</v>
      </c>
      <c r="C50" t="s">
        <v>20</v>
      </c>
      <c r="D50" t="s">
        <v>21</v>
      </c>
      <c r="E50" t="s">
        <v>43</v>
      </c>
      <c r="F50" t="s">
        <v>15</v>
      </c>
      <c r="G50" t="s">
        <v>24</v>
      </c>
      <c r="H50">
        <v>1</v>
      </c>
      <c r="I50">
        <v>6708.04</v>
      </c>
      <c r="J50">
        <v>6708.04</v>
      </c>
      <c r="K50">
        <v>1854.09</v>
      </c>
    </row>
    <row r="51" spans="1:11" x14ac:dyDescent="0.3">
      <c r="A51" t="s">
        <v>87</v>
      </c>
      <c r="B51" s="1">
        <v>45837</v>
      </c>
      <c r="C51" t="s">
        <v>35</v>
      </c>
      <c r="D51" t="s">
        <v>13</v>
      </c>
      <c r="E51" t="s">
        <v>43</v>
      </c>
      <c r="F51" t="s">
        <v>15</v>
      </c>
      <c r="G51" t="s">
        <v>30</v>
      </c>
      <c r="H51">
        <v>2</v>
      </c>
      <c r="I51">
        <v>932.31</v>
      </c>
      <c r="J51">
        <v>1864.62</v>
      </c>
      <c r="K51">
        <v>299.55</v>
      </c>
    </row>
    <row r="52" spans="1:11" x14ac:dyDescent="0.3">
      <c r="A52" t="s">
        <v>88</v>
      </c>
      <c r="B52" s="1">
        <v>45791</v>
      </c>
      <c r="C52" t="s">
        <v>26</v>
      </c>
      <c r="D52" t="s">
        <v>13</v>
      </c>
      <c r="E52" t="s">
        <v>33</v>
      </c>
      <c r="F52" t="s">
        <v>23</v>
      </c>
      <c r="G52" t="s">
        <v>24</v>
      </c>
      <c r="H52">
        <v>2</v>
      </c>
      <c r="I52">
        <v>1974.08</v>
      </c>
      <c r="J52">
        <v>3948.16</v>
      </c>
      <c r="K52">
        <v>1461.03</v>
      </c>
    </row>
    <row r="53" spans="1:11" x14ac:dyDescent="0.3">
      <c r="A53" t="s">
        <v>89</v>
      </c>
      <c r="B53" s="1">
        <v>45818</v>
      </c>
      <c r="C53" t="s">
        <v>62</v>
      </c>
      <c r="D53" t="s">
        <v>63</v>
      </c>
      <c r="E53" t="s">
        <v>33</v>
      </c>
      <c r="F53" t="s">
        <v>15</v>
      </c>
      <c r="G53" t="s">
        <v>24</v>
      </c>
      <c r="H53">
        <v>2</v>
      </c>
      <c r="I53">
        <v>120.27</v>
      </c>
      <c r="J53">
        <v>240.54</v>
      </c>
      <c r="K53">
        <v>67.31</v>
      </c>
    </row>
    <row r="54" spans="1:11" x14ac:dyDescent="0.3">
      <c r="A54" t="s">
        <v>90</v>
      </c>
      <c r="B54" s="1">
        <v>45680</v>
      </c>
      <c r="C54" t="s">
        <v>57</v>
      </c>
      <c r="D54" t="s">
        <v>13</v>
      </c>
      <c r="E54" t="s">
        <v>22</v>
      </c>
      <c r="F54" t="s">
        <v>23</v>
      </c>
      <c r="G54" t="s">
        <v>36</v>
      </c>
      <c r="H54">
        <v>2</v>
      </c>
      <c r="I54">
        <v>501.99</v>
      </c>
      <c r="J54">
        <v>1003.98</v>
      </c>
      <c r="K54">
        <v>170.98</v>
      </c>
    </row>
    <row r="55" spans="1:11" x14ac:dyDescent="0.3">
      <c r="A55" t="s">
        <v>91</v>
      </c>
      <c r="B55" s="1">
        <v>45693</v>
      </c>
      <c r="C55" t="s">
        <v>35</v>
      </c>
      <c r="D55" t="s">
        <v>13</v>
      </c>
      <c r="E55" t="s">
        <v>14</v>
      </c>
      <c r="F55" t="s">
        <v>23</v>
      </c>
      <c r="G55" t="s">
        <v>16</v>
      </c>
      <c r="H55">
        <v>4</v>
      </c>
      <c r="I55">
        <v>922.17</v>
      </c>
      <c r="J55">
        <v>3688.68</v>
      </c>
      <c r="K55">
        <v>765.47</v>
      </c>
    </row>
    <row r="56" spans="1:11" x14ac:dyDescent="0.3">
      <c r="A56" t="s">
        <v>92</v>
      </c>
      <c r="B56" s="1">
        <v>45816</v>
      </c>
      <c r="C56" t="s">
        <v>35</v>
      </c>
      <c r="D56" t="s">
        <v>13</v>
      </c>
      <c r="E56" t="s">
        <v>22</v>
      </c>
      <c r="F56" t="s">
        <v>15</v>
      </c>
      <c r="G56" t="s">
        <v>36</v>
      </c>
      <c r="H56">
        <v>1</v>
      </c>
      <c r="I56">
        <v>882.43</v>
      </c>
      <c r="J56">
        <v>882.43</v>
      </c>
      <c r="K56">
        <v>267.49</v>
      </c>
    </row>
    <row r="57" spans="1:11" x14ac:dyDescent="0.3">
      <c r="A57" t="s">
        <v>93</v>
      </c>
      <c r="B57" s="1">
        <v>45998</v>
      </c>
      <c r="C57" t="s">
        <v>62</v>
      </c>
      <c r="D57" t="s">
        <v>63</v>
      </c>
      <c r="E57" t="s">
        <v>43</v>
      </c>
      <c r="F57" t="s">
        <v>23</v>
      </c>
      <c r="G57" t="s">
        <v>16</v>
      </c>
      <c r="H57">
        <v>2</v>
      </c>
      <c r="I57">
        <v>129.66999999999999</v>
      </c>
      <c r="J57">
        <v>259.33999999999997</v>
      </c>
      <c r="K57">
        <v>57.05</v>
      </c>
    </row>
    <row r="58" spans="1:11" x14ac:dyDescent="0.3">
      <c r="A58" t="s">
        <v>94</v>
      </c>
      <c r="B58" s="1">
        <v>45658</v>
      </c>
      <c r="C58" t="s">
        <v>32</v>
      </c>
      <c r="D58" t="s">
        <v>21</v>
      </c>
      <c r="E58" t="s">
        <v>43</v>
      </c>
      <c r="F58" t="s">
        <v>23</v>
      </c>
      <c r="G58" t="s">
        <v>36</v>
      </c>
      <c r="H58">
        <v>1</v>
      </c>
      <c r="I58">
        <v>8873.7999999999993</v>
      </c>
      <c r="J58">
        <v>8873.7999999999993</v>
      </c>
      <c r="K58">
        <v>2033.91</v>
      </c>
    </row>
    <row r="59" spans="1:11" x14ac:dyDescent="0.3">
      <c r="A59" t="s">
        <v>95</v>
      </c>
      <c r="B59" s="1">
        <v>45884</v>
      </c>
      <c r="C59" t="s">
        <v>35</v>
      </c>
      <c r="D59" t="s">
        <v>13</v>
      </c>
      <c r="E59" t="s">
        <v>22</v>
      </c>
      <c r="F59" t="s">
        <v>15</v>
      </c>
      <c r="G59" t="s">
        <v>24</v>
      </c>
      <c r="H59">
        <v>1</v>
      </c>
      <c r="I59">
        <v>895.17</v>
      </c>
      <c r="J59">
        <v>895.17</v>
      </c>
      <c r="K59">
        <v>130.41999999999999</v>
      </c>
    </row>
    <row r="60" spans="1:11" x14ac:dyDescent="0.3">
      <c r="A60" t="s">
        <v>96</v>
      </c>
      <c r="B60" s="1">
        <v>45921</v>
      </c>
      <c r="C60" t="s">
        <v>35</v>
      </c>
      <c r="D60" t="s">
        <v>13</v>
      </c>
      <c r="E60" t="s">
        <v>22</v>
      </c>
      <c r="F60" t="s">
        <v>23</v>
      </c>
      <c r="G60" t="s">
        <v>51</v>
      </c>
      <c r="H60">
        <v>2</v>
      </c>
      <c r="I60">
        <v>870.33</v>
      </c>
      <c r="J60">
        <v>1740.66</v>
      </c>
      <c r="K60">
        <v>291.06</v>
      </c>
    </row>
    <row r="61" spans="1:11" x14ac:dyDescent="0.3">
      <c r="A61" t="s">
        <v>97</v>
      </c>
      <c r="B61" s="1">
        <v>45759</v>
      </c>
      <c r="C61" t="s">
        <v>26</v>
      </c>
      <c r="D61" t="s">
        <v>13</v>
      </c>
      <c r="E61" t="s">
        <v>14</v>
      </c>
      <c r="F61" t="s">
        <v>23</v>
      </c>
      <c r="G61" t="s">
        <v>36</v>
      </c>
      <c r="H61">
        <v>1</v>
      </c>
      <c r="I61">
        <v>1708.14</v>
      </c>
      <c r="J61">
        <v>1708.14</v>
      </c>
      <c r="K61">
        <v>438.08</v>
      </c>
    </row>
    <row r="62" spans="1:11" x14ac:dyDescent="0.3">
      <c r="A62" t="s">
        <v>98</v>
      </c>
      <c r="B62" s="1">
        <v>45980</v>
      </c>
      <c r="C62" t="s">
        <v>29</v>
      </c>
      <c r="D62" t="s">
        <v>13</v>
      </c>
      <c r="E62" t="s">
        <v>22</v>
      </c>
      <c r="F62" t="s">
        <v>15</v>
      </c>
      <c r="G62" t="s">
        <v>30</v>
      </c>
      <c r="H62">
        <v>1</v>
      </c>
      <c r="I62">
        <v>12471.25</v>
      </c>
      <c r="J62">
        <v>12471.25</v>
      </c>
      <c r="K62">
        <v>3136.04</v>
      </c>
    </row>
    <row r="63" spans="1:11" x14ac:dyDescent="0.3">
      <c r="A63" t="s">
        <v>99</v>
      </c>
      <c r="B63" s="1">
        <v>45712</v>
      </c>
      <c r="C63" t="s">
        <v>62</v>
      </c>
      <c r="D63" t="s">
        <v>63</v>
      </c>
      <c r="E63" t="s">
        <v>27</v>
      </c>
      <c r="F63" t="s">
        <v>15</v>
      </c>
      <c r="G63" t="s">
        <v>16</v>
      </c>
      <c r="H63">
        <v>1</v>
      </c>
      <c r="I63">
        <v>127.3</v>
      </c>
      <c r="J63">
        <v>127.3</v>
      </c>
      <c r="K63">
        <v>25.34</v>
      </c>
    </row>
    <row r="64" spans="1:11" x14ac:dyDescent="0.3">
      <c r="A64" t="s">
        <v>100</v>
      </c>
      <c r="B64" s="1">
        <v>45785</v>
      </c>
      <c r="C64" t="s">
        <v>12</v>
      </c>
      <c r="D64" t="s">
        <v>13</v>
      </c>
      <c r="E64" t="s">
        <v>33</v>
      </c>
      <c r="F64" t="s">
        <v>23</v>
      </c>
      <c r="G64" t="s">
        <v>36</v>
      </c>
      <c r="H64">
        <v>2</v>
      </c>
      <c r="I64">
        <v>19085.099999999999</v>
      </c>
      <c r="J64">
        <v>38170.199999999997</v>
      </c>
      <c r="K64">
        <v>7879.47</v>
      </c>
    </row>
    <row r="65" spans="1:11" x14ac:dyDescent="0.3">
      <c r="A65" t="s">
        <v>101</v>
      </c>
      <c r="B65" s="1">
        <v>45971</v>
      </c>
      <c r="C65" t="s">
        <v>57</v>
      </c>
      <c r="D65" t="s">
        <v>13</v>
      </c>
      <c r="E65" t="s">
        <v>27</v>
      </c>
      <c r="F65" t="s">
        <v>15</v>
      </c>
      <c r="G65" t="s">
        <v>36</v>
      </c>
      <c r="H65">
        <v>4</v>
      </c>
      <c r="I65">
        <v>492.67</v>
      </c>
      <c r="J65">
        <v>1970.68</v>
      </c>
      <c r="K65">
        <v>284.20999999999998</v>
      </c>
    </row>
    <row r="66" spans="1:11" x14ac:dyDescent="0.3">
      <c r="A66" t="s">
        <v>102</v>
      </c>
      <c r="B66" s="1">
        <v>45888</v>
      </c>
      <c r="C66" t="s">
        <v>32</v>
      </c>
      <c r="D66" t="s">
        <v>21</v>
      </c>
      <c r="E66" t="s">
        <v>33</v>
      </c>
      <c r="F66" t="s">
        <v>23</v>
      </c>
      <c r="G66" t="s">
        <v>51</v>
      </c>
      <c r="H66">
        <v>3</v>
      </c>
      <c r="I66">
        <v>9611.75</v>
      </c>
      <c r="J66">
        <v>28835.25</v>
      </c>
      <c r="K66">
        <v>8878.35</v>
      </c>
    </row>
    <row r="67" spans="1:11" x14ac:dyDescent="0.3">
      <c r="A67" t="s">
        <v>103</v>
      </c>
      <c r="B67" s="1">
        <v>45798</v>
      </c>
      <c r="C67" t="s">
        <v>38</v>
      </c>
      <c r="D67" t="s">
        <v>39</v>
      </c>
      <c r="E67" t="s">
        <v>43</v>
      </c>
      <c r="F67" t="s">
        <v>15</v>
      </c>
      <c r="G67" t="s">
        <v>51</v>
      </c>
      <c r="H67">
        <v>1</v>
      </c>
      <c r="I67">
        <v>1148.57</v>
      </c>
      <c r="J67">
        <v>1148.57</v>
      </c>
      <c r="K67">
        <v>355.31</v>
      </c>
    </row>
    <row r="68" spans="1:11" x14ac:dyDescent="0.3">
      <c r="A68" t="s">
        <v>104</v>
      </c>
      <c r="B68" s="1">
        <v>45735</v>
      </c>
      <c r="C68" t="s">
        <v>20</v>
      </c>
      <c r="D68" t="s">
        <v>21</v>
      </c>
      <c r="E68" t="s">
        <v>27</v>
      </c>
      <c r="F68" t="s">
        <v>23</v>
      </c>
      <c r="G68" t="s">
        <v>24</v>
      </c>
      <c r="H68">
        <v>1</v>
      </c>
      <c r="I68">
        <v>6048.65</v>
      </c>
      <c r="J68">
        <v>6048.65</v>
      </c>
      <c r="K68">
        <v>1962.01</v>
      </c>
    </row>
    <row r="69" spans="1:11" x14ac:dyDescent="0.3">
      <c r="A69" t="s">
        <v>105</v>
      </c>
      <c r="B69" s="1">
        <v>45935</v>
      </c>
      <c r="C69" t="s">
        <v>38</v>
      </c>
      <c r="D69" t="s">
        <v>39</v>
      </c>
      <c r="E69" t="s">
        <v>33</v>
      </c>
      <c r="F69" t="s">
        <v>15</v>
      </c>
      <c r="G69" t="s">
        <v>16</v>
      </c>
      <c r="H69">
        <v>1</v>
      </c>
      <c r="I69">
        <v>1129.6400000000001</v>
      </c>
      <c r="J69">
        <v>1129.6400000000001</v>
      </c>
      <c r="K69">
        <v>305.86</v>
      </c>
    </row>
    <row r="70" spans="1:11" x14ac:dyDescent="0.3">
      <c r="A70" t="s">
        <v>106</v>
      </c>
      <c r="B70" s="1">
        <v>45852</v>
      </c>
      <c r="C70" t="s">
        <v>38</v>
      </c>
      <c r="D70" t="s">
        <v>39</v>
      </c>
      <c r="E70" t="s">
        <v>27</v>
      </c>
      <c r="F70" t="s">
        <v>15</v>
      </c>
      <c r="G70" t="s">
        <v>36</v>
      </c>
      <c r="H70">
        <v>1</v>
      </c>
      <c r="I70">
        <v>1164.42</v>
      </c>
      <c r="J70">
        <v>1164.42</v>
      </c>
      <c r="K70">
        <v>214.37</v>
      </c>
    </row>
    <row r="71" spans="1:11" x14ac:dyDescent="0.3">
      <c r="A71" t="s">
        <v>107</v>
      </c>
      <c r="B71" s="1">
        <v>45770</v>
      </c>
      <c r="C71" t="s">
        <v>32</v>
      </c>
      <c r="D71" t="s">
        <v>21</v>
      </c>
      <c r="E71" t="s">
        <v>27</v>
      </c>
      <c r="F71" t="s">
        <v>15</v>
      </c>
      <c r="G71" t="s">
        <v>36</v>
      </c>
      <c r="H71">
        <v>2</v>
      </c>
      <c r="I71">
        <v>8152.24</v>
      </c>
      <c r="J71">
        <v>16304.48</v>
      </c>
      <c r="K71">
        <v>4770.79</v>
      </c>
    </row>
    <row r="72" spans="1:11" x14ac:dyDescent="0.3">
      <c r="A72" t="s">
        <v>108</v>
      </c>
      <c r="B72" s="1">
        <v>45723</v>
      </c>
      <c r="C72" t="s">
        <v>29</v>
      </c>
      <c r="D72" t="s">
        <v>13</v>
      </c>
      <c r="E72" t="s">
        <v>14</v>
      </c>
      <c r="F72" t="s">
        <v>15</v>
      </c>
      <c r="G72" t="s">
        <v>36</v>
      </c>
      <c r="H72">
        <v>2</v>
      </c>
      <c r="I72">
        <v>12976.63</v>
      </c>
      <c r="J72">
        <v>25953.26</v>
      </c>
      <c r="K72">
        <v>5868.24</v>
      </c>
    </row>
    <row r="73" spans="1:11" x14ac:dyDescent="0.3">
      <c r="A73" t="s">
        <v>109</v>
      </c>
      <c r="B73" s="1">
        <v>45727</v>
      </c>
      <c r="C73" t="s">
        <v>38</v>
      </c>
      <c r="D73" t="s">
        <v>39</v>
      </c>
      <c r="E73" t="s">
        <v>27</v>
      </c>
      <c r="F73" t="s">
        <v>23</v>
      </c>
      <c r="G73" t="s">
        <v>24</v>
      </c>
      <c r="H73">
        <v>1</v>
      </c>
      <c r="I73">
        <v>1142.44</v>
      </c>
      <c r="J73">
        <v>1142.44</v>
      </c>
      <c r="K73">
        <v>336.89</v>
      </c>
    </row>
    <row r="74" spans="1:11" x14ac:dyDescent="0.3">
      <c r="A74" t="s">
        <v>110</v>
      </c>
      <c r="B74" s="1">
        <v>45852</v>
      </c>
      <c r="C74" t="s">
        <v>32</v>
      </c>
      <c r="D74" t="s">
        <v>21</v>
      </c>
      <c r="E74" t="s">
        <v>14</v>
      </c>
      <c r="F74" t="s">
        <v>23</v>
      </c>
      <c r="G74" t="s">
        <v>30</v>
      </c>
      <c r="H74">
        <v>3</v>
      </c>
      <c r="I74">
        <v>9597.4599999999991</v>
      </c>
      <c r="J74">
        <v>28792.38</v>
      </c>
      <c r="K74">
        <v>9052.59</v>
      </c>
    </row>
    <row r="75" spans="1:11" x14ac:dyDescent="0.3">
      <c r="A75" t="s">
        <v>111</v>
      </c>
      <c r="B75" s="1">
        <v>45934</v>
      </c>
      <c r="C75" t="s">
        <v>18</v>
      </c>
      <c r="D75" t="s">
        <v>13</v>
      </c>
      <c r="E75" t="s">
        <v>14</v>
      </c>
      <c r="F75" t="s">
        <v>15</v>
      </c>
      <c r="G75" t="s">
        <v>51</v>
      </c>
      <c r="H75">
        <v>5</v>
      </c>
      <c r="I75">
        <v>40739.67</v>
      </c>
      <c r="J75">
        <v>203698.35</v>
      </c>
      <c r="K75">
        <v>42972.72</v>
      </c>
    </row>
    <row r="76" spans="1:11" x14ac:dyDescent="0.3">
      <c r="A76" t="s">
        <v>112</v>
      </c>
      <c r="B76" s="1">
        <v>45760</v>
      </c>
      <c r="C76" t="s">
        <v>18</v>
      </c>
      <c r="D76" t="s">
        <v>13</v>
      </c>
      <c r="E76" t="s">
        <v>14</v>
      </c>
      <c r="F76" t="s">
        <v>15</v>
      </c>
      <c r="G76" t="s">
        <v>36</v>
      </c>
      <c r="H76">
        <v>2</v>
      </c>
      <c r="I76">
        <v>39803.78</v>
      </c>
      <c r="J76">
        <v>79607.56</v>
      </c>
      <c r="K76">
        <v>20449.12</v>
      </c>
    </row>
    <row r="77" spans="1:11" x14ac:dyDescent="0.3">
      <c r="A77" t="s">
        <v>113</v>
      </c>
      <c r="B77" s="1">
        <v>46016</v>
      </c>
      <c r="C77" t="s">
        <v>32</v>
      </c>
      <c r="D77" t="s">
        <v>21</v>
      </c>
      <c r="E77" t="s">
        <v>14</v>
      </c>
      <c r="F77" t="s">
        <v>15</v>
      </c>
      <c r="G77" t="s">
        <v>24</v>
      </c>
      <c r="H77">
        <v>3</v>
      </c>
      <c r="I77">
        <v>8402.02</v>
      </c>
      <c r="J77">
        <v>25206.06</v>
      </c>
      <c r="K77">
        <v>5598.66</v>
      </c>
    </row>
    <row r="78" spans="1:11" x14ac:dyDescent="0.3">
      <c r="A78" t="s">
        <v>114</v>
      </c>
      <c r="B78" s="1">
        <v>45713</v>
      </c>
      <c r="C78" t="s">
        <v>29</v>
      </c>
      <c r="D78" t="s">
        <v>13</v>
      </c>
      <c r="E78" t="s">
        <v>27</v>
      </c>
      <c r="F78" t="s">
        <v>23</v>
      </c>
      <c r="G78" t="s">
        <v>51</v>
      </c>
      <c r="H78">
        <v>1</v>
      </c>
      <c r="I78">
        <v>11548.7</v>
      </c>
      <c r="J78">
        <v>11548.7</v>
      </c>
      <c r="K78">
        <v>2354.66</v>
      </c>
    </row>
    <row r="79" spans="1:11" x14ac:dyDescent="0.3">
      <c r="A79" t="s">
        <v>115</v>
      </c>
      <c r="B79" s="1">
        <v>45696</v>
      </c>
      <c r="C79" t="s">
        <v>29</v>
      </c>
      <c r="D79" t="s">
        <v>13</v>
      </c>
      <c r="E79" t="s">
        <v>43</v>
      </c>
      <c r="F79" t="s">
        <v>15</v>
      </c>
      <c r="G79" t="s">
        <v>16</v>
      </c>
      <c r="H79">
        <v>2</v>
      </c>
      <c r="I79">
        <v>12305.38</v>
      </c>
      <c r="J79">
        <v>24610.76</v>
      </c>
      <c r="K79">
        <v>8700.0400000000009</v>
      </c>
    </row>
    <row r="80" spans="1:11" x14ac:dyDescent="0.3">
      <c r="A80" t="s">
        <v>116</v>
      </c>
      <c r="B80" s="1">
        <v>45679</v>
      </c>
      <c r="C80" t="s">
        <v>117</v>
      </c>
      <c r="D80" t="s">
        <v>63</v>
      </c>
      <c r="E80" t="s">
        <v>43</v>
      </c>
      <c r="F80" t="s">
        <v>15</v>
      </c>
      <c r="G80" t="s">
        <v>36</v>
      </c>
      <c r="H80">
        <v>2</v>
      </c>
      <c r="I80">
        <v>82.58</v>
      </c>
      <c r="J80">
        <v>165.16</v>
      </c>
      <c r="K80">
        <v>59.8</v>
      </c>
    </row>
    <row r="81" spans="1:11" x14ac:dyDescent="0.3">
      <c r="A81" t="s">
        <v>118</v>
      </c>
      <c r="B81" s="1">
        <v>45908</v>
      </c>
      <c r="C81" t="s">
        <v>12</v>
      </c>
      <c r="D81" t="s">
        <v>13</v>
      </c>
      <c r="E81" t="s">
        <v>27</v>
      </c>
      <c r="F81" t="s">
        <v>15</v>
      </c>
      <c r="G81" t="s">
        <v>36</v>
      </c>
      <c r="H81">
        <v>2</v>
      </c>
      <c r="I81">
        <v>17503.88</v>
      </c>
      <c r="J81">
        <v>35007.760000000002</v>
      </c>
      <c r="K81">
        <v>5187.82</v>
      </c>
    </row>
    <row r="82" spans="1:11" x14ac:dyDescent="0.3">
      <c r="A82" t="s">
        <v>119</v>
      </c>
      <c r="B82" s="1">
        <v>45748</v>
      </c>
      <c r="C82" t="s">
        <v>57</v>
      </c>
      <c r="D82" t="s">
        <v>13</v>
      </c>
      <c r="E82" t="s">
        <v>33</v>
      </c>
      <c r="F82" t="s">
        <v>23</v>
      </c>
      <c r="G82" t="s">
        <v>36</v>
      </c>
      <c r="H82">
        <v>2</v>
      </c>
      <c r="I82">
        <v>515.04999999999995</v>
      </c>
      <c r="J82">
        <v>1030.0999999999999</v>
      </c>
      <c r="K82">
        <v>226.48</v>
      </c>
    </row>
    <row r="83" spans="1:11" x14ac:dyDescent="0.3">
      <c r="A83" t="s">
        <v>120</v>
      </c>
      <c r="B83" s="1">
        <v>45881</v>
      </c>
      <c r="C83" t="s">
        <v>57</v>
      </c>
      <c r="D83" t="s">
        <v>13</v>
      </c>
      <c r="E83" t="s">
        <v>14</v>
      </c>
      <c r="F83" t="s">
        <v>23</v>
      </c>
      <c r="G83" t="s">
        <v>36</v>
      </c>
      <c r="H83">
        <v>2</v>
      </c>
      <c r="I83">
        <v>482.23</v>
      </c>
      <c r="J83">
        <v>964.46</v>
      </c>
      <c r="K83">
        <v>304.93</v>
      </c>
    </row>
    <row r="84" spans="1:11" x14ac:dyDescent="0.3">
      <c r="A84" t="s">
        <v>121</v>
      </c>
      <c r="B84" s="1">
        <v>45782</v>
      </c>
      <c r="C84" t="s">
        <v>38</v>
      </c>
      <c r="D84" t="s">
        <v>39</v>
      </c>
      <c r="E84" t="s">
        <v>27</v>
      </c>
      <c r="F84" t="s">
        <v>23</v>
      </c>
      <c r="G84" t="s">
        <v>51</v>
      </c>
      <c r="H84">
        <v>2</v>
      </c>
      <c r="I84">
        <v>1240.3699999999999</v>
      </c>
      <c r="J84">
        <v>2480.7399999999998</v>
      </c>
      <c r="K84">
        <v>725.71</v>
      </c>
    </row>
    <row r="85" spans="1:11" x14ac:dyDescent="0.3">
      <c r="A85" t="s">
        <v>122</v>
      </c>
      <c r="B85" s="1">
        <v>45907</v>
      </c>
      <c r="C85" t="s">
        <v>20</v>
      </c>
      <c r="D85" t="s">
        <v>21</v>
      </c>
      <c r="E85" t="s">
        <v>33</v>
      </c>
      <c r="F85" t="s">
        <v>23</v>
      </c>
      <c r="G85" t="s">
        <v>16</v>
      </c>
      <c r="H85">
        <v>1</v>
      </c>
      <c r="I85">
        <v>6185.86</v>
      </c>
      <c r="J85">
        <v>6185.86</v>
      </c>
      <c r="K85">
        <v>1900.85</v>
      </c>
    </row>
    <row r="86" spans="1:11" x14ac:dyDescent="0.3">
      <c r="A86" t="s">
        <v>123</v>
      </c>
      <c r="B86" s="1">
        <v>45663</v>
      </c>
      <c r="C86" t="s">
        <v>50</v>
      </c>
      <c r="D86" t="s">
        <v>39</v>
      </c>
      <c r="E86" t="s">
        <v>27</v>
      </c>
      <c r="F86" t="s">
        <v>15</v>
      </c>
      <c r="G86" t="s">
        <v>36</v>
      </c>
      <c r="H86">
        <v>4</v>
      </c>
      <c r="I86">
        <v>320.99</v>
      </c>
      <c r="J86">
        <v>1283.96</v>
      </c>
      <c r="K86">
        <v>247.52</v>
      </c>
    </row>
    <row r="87" spans="1:11" x14ac:dyDescent="0.3">
      <c r="A87" t="s">
        <v>124</v>
      </c>
      <c r="B87" s="1">
        <v>45988</v>
      </c>
      <c r="C87" t="s">
        <v>57</v>
      </c>
      <c r="D87" t="s">
        <v>13</v>
      </c>
      <c r="E87" t="s">
        <v>22</v>
      </c>
      <c r="F87" t="s">
        <v>23</v>
      </c>
      <c r="G87" t="s">
        <v>51</v>
      </c>
      <c r="H87">
        <v>2</v>
      </c>
      <c r="I87">
        <v>529.29</v>
      </c>
      <c r="J87">
        <v>1058.58</v>
      </c>
      <c r="K87">
        <v>376.65</v>
      </c>
    </row>
    <row r="88" spans="1:11" x14ac:dyDescent="0.3">
      <c r="A88" t="s">
        <v>125</v>
      </c>
      <c r="B88" s="1">
        <v>45814</v>
      </c>
      <c r="C88" t="s">
        <v>35</v>
      </c>
      <c r="D88" t="s">
        <v>13</v>
      </c>
      <c r="E88" t="s">
        <v>27</v>
      </c>
      <c r="F88" t="s">
        <v>23</v>
      </c>
      <c r="G88" t="s">
        <v>24</v>
      </c>
      <c r="H88">
        <v>2</v>
      </c>
      <c r="I88">
        <v>895.19</v>
      </c>
      <c r="J88">
        <v>1790.38</v>
      </c>
      <c r="K88">
        <v>433.2</v>
      </c>
    </row>
    <row r="89" spans="1:11" x14ac:dyDescent="0.3">
      <c r="A89" t="s">
        <v>126</v>
      </c>
      <c r="B89" s="1">
        <v>46017</v>
      </c>
      <c r="C89" t="s">
        <v>38</v>
      </c>
      <c r="D89" t="s">
        <v>39</v>
      </c>
      <c r="E89" t="s">
        <v>22</v>
      </c>
      <c r="F89" t="s">
        <v>23</v>
      </c>
      <c r="G89" t="s">
        <v>30</v>
      </c>
      <c r="H89">
        <v>1</v>
      </c>
      <c r="I89">
        <v>1140.3399999999999</v>
      </c>
      <c r="J89">
        <v>1140.3399999999999</v>
      </c>
      <c r="K89">
        <v>397.56</v>
      </c>
    </row>
    <row r="90" spans="1:11" x14ac:dyDescent="0.3">
      <c r="A90" t="s">
        <v>127</v>
      </c>
      <c r="B90" s="1">
        <v>45932</v>
      </c>
      <c r="C90" t="s">
        <v>57</v>
      </c>
      <c r="D90" t="s">
        <v>13</v>
      </c>
      <c r="E90" t="s">
        <v>33</v>
      </c>
      <c r="F90" t="s">
        <v>23</v>
      </c>
      <c r="G90" t="s">
        <v>30</v>
      </c>
      <c r="H90">
        <v>1</v>
      </c>
      <c r="I90">
        <v>471.64</v>
      </c>
      <c r="J90">
        <v>471.64</v>
      </c>
      <c r="K90">
        <v>119.85</v>
      </c>
    </row>
    <row r="91" spans="1:11" x14ac:dyDescent="0.3">
      <c r="A91" t="s">
        <v>128</v>
      </c>
      <c r="B91" s="1">
        <v>45757</v>
      </c>
      <c r="C91" t="s">
        <v>32</v>
      </c>
      <c r="D91" t="s">
        <v>21</v>
      </c>
      <c r="E91" t="s">
        <v>33</v>
      </c>
      <c r="F91" t="s">
        <v>15</v>
      </c>
      <c r="G91" t="s">
        <v>24</v>
      </c>
      <c r="H91">
        <v>1</v>
      </c>
      <c r="I91">
        <v>8422.99</v>
      </c>
      <c r="J91">
        <v>8422.99</v>
      </c>
      <c r="K91">
        <v>3169.75</v>
      </c>
    </row>
    <row r="92" spans="1:11" x14ac:dyDescent="0.3">
      <c r="A92" t="s">
        <v>129</v>
      </c>
      <c r="B92" s="1">
        <v>45681</v>
      </c>
      <c r="C92" t="s">
        <v>18</v>
      </c>
      <c r="D92" t="s">
        <v>13</v>
      </c>
      <c r="E92" t="s">
        <v>27</v>
      </c>
      <c r="F92" t="s">
        <v>15</v>
      </c>
      <c r="G92" t="s">
        <v>30</v>
      </c>
      <c r="H92">
        <v>2</v>
      </c>
      <c r="I92">
        <v>43658.31</v>
      </c>
      <c r="J92">
        <v>87316.62</v>
      </c>
      <c r="K92">
        <v>30313.48</v>
      </c>
    </row>
    <row r="93" spans="1:11" x14ac:dyDescent="0.3">
      <c r="A93" t="s">
        <v>130</v>
      </c>
      <c r="B93" s="1">
        <v>45951</v>
      </c>
      <c r="C93" t="s">
        <v>32</v>
      </c>
      <c r="D93" t="s">
        <v>21</v>
      </c>
      <c r="E93" t="s">
        <v>14</v>
      </c>
      <c r="F93" t="s">
        <v>23</v>
      </c>
      <c r="G93" t="s">
        <v>36</v>
      </c>
      <c r="H93">
        <v>2</v>
      </c>
      <c r="I93">
        <v>8892.84</v>
      </c>
      <c r="J93">
        <v>17785.68</v>
      </c>
      <c r="K93">
        <v>5906.01</v>
      </c>
    </row>
    <row r="94" spans="1:11" x14ac:dyDescent="0.3">
      <c r="A94" t="s">
        <v>131</v>
      </c>
      <c r="B94" s="1">
        <v>45716</v>
      </c>
      <c r="C94" t="s">
        <v>12</v>
      </c>
      <c r="D94" t="s">
        <v>13</v>
      </c>
      <c r="E94" t="s">
        <v>14</v>
      </c>
      <c r="F94" t="s">
        <v>15</v>
      </c>
      <c r="G94" t="s">
        <v>51</v>
      </c>
      <c r="H94">
        <v>1</v>
      </c>
      <c r="I94">
        <v>16466.7</v>
      </c>
      <c r="J94">
        <v>16466.7</v>
      </c>
      <c r="K94">
        <v>3562.47</v>
      </c>
    </row>
    <row r="95" spans="1:11" x14ac:dyDescent="0.3">
      <c r="A95" t="s">
        <v>132</v>
      </c>
      <c r="B95" s="1">
        <v>45946</v>
      </c>
      <c r="C95" t="s">
        <v>32</v>
      </c>
      <c r="D95" t="s">
        <v>21</v>
      </c>
      <c r="E95" t="s">
        <v>27</v>
      </c>
      <c r="F95" t="s">
        <v>15</v>
      </c>
      <c r="G95" t="s">
        <v>16</v>
      </c>
      <c r="H95">
        <v>1</v>
      </c>
      <c r="I95">
        <v>8546.74</v>
      </c>
      <c r="J95">
        <v>8546.74</v>
      </c>
      <c r="K95">
        <v>2007.64</v>
      </c>
    </row>
    <row r="96" spans="1:11" x14ac:dyDescent="0.3">
      <c r="A96" t="s">
        <v>133</v>
      </c>
      <c r="B96" s="1">
        <v>45852</v>
      </c>
      <c r="C96" t="s">
        <v>38</v>
      </c>
      <c r="D96" t="s">
        <v>39</v>
      </c>
      <c r="E96" t="s">
        <v>27</v>
      </c>
      <c r="F96" t="s">
        <v>23</v>
      </c>
      <c r="G96" t="s">
        <v>16</v>
      </c>
      <c r="H96">
        <v>4</v>
      </c>
      <c r="I96">
        <v>1151.3599999999999</v>
      </c>
      <c r="J96">
        <v>4605.4399999999996</v>
      </c>
      <c r="K96">
        <v>1045.3599999999999</v>
      </c>
    </row>
    <row r="97" spans="1:11" x14ac:dyDescent="0.3">
      <c r="A97" t="s">
        <v>134</v>
      </c>
      <c r="B97" s="1">
        <v>45975</v>
      </c>
      <c r="C97" t="s">
        <v>18</v>
      </c>
      <c r="D97" t="s">
        <v>13</v>
      </c>
      <c r="E97" t="s">
        <v>22</v>
      </c>
      <c r="F97" t="s">
        <v>15</v>
      </c>
      <c r="G97" t="s">
        <v>24</v>
      </c>
      <c r="H97">
        <v>2</v>
      </c>
      <c r="I97">
        <v>44016.75</v>
      </c>
      <c r="J97">
        <v>88033.5</v>
      </c>
      <c r="K97">
        <v>11763.61</v>
      </c>
    </row>
    <row r="98" spans="1:11" x14ac:dyDescent="0.3">
      <c r="A98" t="s">
        <v>135</v>
      </c>
      <c r="B98" s="1">
        <v>45996</v>
      </c>
      <c r="C98" t="s">
        <v>12</v>
      </c>
      <c r="D98" t="s">
        <v>13</v>
      </c>
      <c r="E98" t="s">
        <v>14</v>
      </c>
      <c r="F98" t="s">
        <v>23</v>
      </c>
      <c r="G98" t="s">
        <v>36</v>
      </c>
      <c r="H98">
        <v>1</v>
      </c>
      <c r="I98">
        <v>16825.73</v>
      </c>
      <c r="J98">
        <v>16825.73</v>
      </c>
      <c r="K98">
        <v>6065.39</v>
      </c>
    </row>
    <row r="99" spans="1:11" x14ac:dyDescent="0.3">
      <c r="A99" t="s">
        <v>136</v>
      </c>
      <c r="B99" s="1">
        <v>46010</v>
      </c>
      <c r="C99" t="s">
        <v>29</v>
      </c>
      <c r="D99" t="s">
        <v>13</v>
      </c>
      <c r="E99" t="s">
        <v>43</v>
      </c>
      <c r="F99" t="s">
        <v>23</v>
      </c>
      <c r="G99" t="s">
        <v>30</v>
      </c>
      <c r="H99">
        <v>2</v>
      </c>
      <c r="I99">
        <v>10878.34</v>
      </c>
      <c r="J99">
        <v>21756.68</v>
      </c>
      <c r="K99">
        <v>6637.8</v>
      </c>
    </row>
    <row r="100" spans="1:11" x14ac:dyDescent="0.3">
      <c r="A100" t="s">
        <v>137</v>
      </c>
      <c r="B100" s="1">
        <v>46009</v>
      </c>
      <c r="C100" t="s">
        <v>20</v>
      </c>
      <c r="D100" t="s">
        <v>21</v>
      </c>
      <c r="E100" t="s">
        <v>22</v>
      </c>
      <c r="F100" t="s">
        <v>23</v>
      </c>
      <c r="G100" t="s">
        <v>30</v>
      </c>
      <c r="H100">
        <v>4</v>
      </c>
      <c r="I100">
        <v>6874.18</v>
      </c>
      <c r="J100">
        <v>27496.720000000001</v>
      </c>
      <c r="K100">
        <v>5980.12</v>
      </c>
    </row>
    <row r="101" spans="1:11" x14ac:dyDescent="0.3">
      <c r="A101" t="s">
        <v>138</v>
      </c>
      <c r="B101" s="1">
        <v>45936</v>
      </c>
      <c r="C101" t="s">
        <v>20</v>
      </c>
      <c r="D101" t="s">
        <v>21</v>
      </c>
      <c r="E101" t="s">
        <v>14</v>
      </c>
      <c r="F101" t="s">
        <v>15</v>
      </c>
      <c r="G101" t="s">
        <v>51</v>
      </c>
      <c r="H101">
        <v>2</v>
      </c>
      <c r="I101">
        <v>7030.93</v>
      </c>
      <c r="J101">
        <v>14061.86</v>
      </c>
      <c r="K101">
        <v>2321.27</v>
      </c>
    </row>
    <row r="102" spans="1:11" x14ac:dyDescent="0.3">
      <c r="A102" t="s">
        <v>139</v>
      </c>
      <c r="B102" s="1">
        <v>45815</v>
      </c>
      <c r="C102" t="s">
        <v>29</v>
      </c>
      <c r="D102" t="s">
        <v>13</v>
      </c>
      <c r="E102" t="s">
        <v>14</v>
      </c>
      <c r="F102" t="s">
        <v>23</v>
      </c>
      <c r="G102" t="s">
        <v>24</v>
      </c>
      <c r="H102">
        <v>3</v>
      </c>
      <c r="I102">
        <v>12166.1</v>
      </c>
      <c r="J102">
        <v>36498.300000000003</v>
      </c>
      <c r="K102">
        <v>11130.57</v>
      </c>
    </row>
    <row r="103" spans="1:11" x14ac:dyDescent="0.3">
      <c r="A103" t="s">
        <v>140</v>
      </c>
      <c r="B103" s="1">
        <v>46016</v>
      </c>
      <c r="C103" t="s">
        <v>62</v>
      </c>
      <c r="D103" t="s">
        <v>63</v>
      </c>
      <c r="E103" t="s">
        <v>14</v>
      </c>
      <c r="F103" t="s">
        <v>15</v>
      </c>
      <c r="G103" t="s">
        <v>36</v>
      </c>
      <c r="H103">
        <v>4</v>
      </c>
      <c r="I103">
        <v>120.01</v>
      </c>
      <c r="J103">
        <v>480.04</v>
      </c>
      <c r="K103">
        <v>120.78</v>
      </c>
    </row>
    <row r="104" spans="1:11" x14ac:dyDescent="0.3">
      <c r="A104" t="s">
        <v>141</v>
      </c>
      <c r="B104" s="1">
        <v>45823</v>
      </c>
      <c r="C104" t="s">
        <v>29</v>
      </c>
      <c r="D104" t="s">
        <v>13</v>
      </c>
      <c r="E104" t="s">
        <v>33</v>
      </c>
      <c r="F104" t="s">
        <v>15</v>
      </c>
      <c r="G104" t="s">
        <v>24</v>
      </c>
      <c r="H104">
        <v>1</v>
      </c>
      <c r="I104">
        <v>11019.18</v>
      </c>
      <c r="J104">
        <v>11019.18</v>
      </c>
      <c r="K104">
        <v>1431.43</v>
      </c>
    </row>
    <row r="105" spans="1:11" x14ac:dyDescent="0.3">
      <c r="A105" t="s">
        <v>142</v>
      </c>
      <c r="B105" s="1">
        <v>45953</v>
      </c>
      <c r="C105" t="s">
        <v>18</v>
      </c>
      <c r="D105" t="s">
        <v>13</v>
      </c>
      <c r="E105" t="s">
        <v>27</v>
      </c>
      <c r="F105" t="s">
        <v>23</v>
      </c>
      <c r="G105" t="s">
        <v>51</v>
      </c>
      <c r="H105">
        <v>3</v>
      </c>
      <c r="I105">
        <v>39271.599999999999</v>
      </c>
      <c r="J105">
        <v>117814.8</v>
      </c>
      <c r="K105">
        <v>28872.799999999999</v>
      </c>
    </row>
    <row r="106" spans="1:11" x14ac:dyDescent="0.3">
      <c r="A106" t="s">
        <v>143</v>
      </c>
      <c r="B106" s="1">
        <v>45957</v>
      </c>
      <c r="C106" t="s">
        <v>62</v>
      </c>
      <c r="D106" t="s">
        <v>63</v>
      </c>
      <c r="E106" t="s">
        <v>43</v>
      </c>
      <c r="F106" t="s">
        <v>23</v>
      </c>
      <c r="G106" t="s">
        <v>24</v>
      </c>
      <c r="H106">
        <v>2</v>
      </c>
      <c r="I106">
        <v>119.8</v>
      </c>
      <c r="J106">
        <v>239.6</v>
      </c>
      <c r="K106">
        <v>85.36</v>
      </c>
    </row>
    <row r="107" spans="1:11" x14ac:dyDescent="0.3">
      <c r="A107" t="s">
        <v>144</v>
      </c>
      <c r="B107" s="1">
        <v>45822</v>
      </c>
      <c r="C107" t="s">
        <v>35</v>
      </c>
      <c r="D107" t="s">
        <v>13</v>
      </c>
      <c r="E107" t="s">
        <v>27</v>
      </c>
      <c r="F107" t="s">
        <v>23</v>
      </c>
      <c r="G107" t="s">
        <v>36</v>
      </c>
      <c r="H107">
        <v>1</v>
      </c>
      <c r="I107">
        <v>838.95</v>
      </c>
      <c r="J107">
        <v>838.95</v>
      </c>
      <c r="K107">
        <v>229.01</v>
      </c>
    </row>
    <row r="108" spans="1:11" x14ac:dyDescent="0.3">
      <c r="A108" t="s">
        <v>145</v>
      </c>
      <c r="B108" s="1">
        <v>45939</v>
      </c>
      <c r="C108" t="s">
        <v>18</v>
      </c>
      <c r="D108" t="s">
        <v>13</v>
      </c>
      <c r="E108" t="s">
        <v>27</v>
      </c>
      <c r="F108" t="s">
        <v>15</v>
      </c>
      <c r="G108" t="s">
        <v>16</v>
      </c>
      <c r="H108">
        <v>2</v>
      </c>
      <c r="I108">
        <v>40441.94</v>
      </c>
      <c r="J108">
        <v>80883.88</v>
      </c>
      <c r="K108">
        <v>23937.49</v>
      </c>
    </row>
    <row r="109" spans="1:11" x14ac:dyDescent="0.3">
      <c r="A109" t="s">
        <v>146</v>
      </c>
      <c r="B109" s="1">
        <v>45894</v>
      </c>
      <c r="C109" t="s">
        <v>62</v>
      </c>
      <c r="D109" t="s">
        <v>63</v>
      </c>
      <c r="E109" t="s">
        <v>27</v>
      </c>
      <c r="F109" t="s">
        <v>23</v>
      </c>
      <c r="G109" t="s">
        <v>30</v>
      </c>
      <c r="H109">
        <v>1</v>
      </c>
      <c r="I109">
        <v>120.44</v>
      </c>
      <c r="J109">
        <v>120.44</v>
      </c>
      <c r="K109">
        <v>26.27</v>
      </c>
    </row>
    <row r="110" spans="1:11" x14ac:dyDescent="0.3">
      <c r="A110" t="s">
        <v>147</v>
      </c>
      <c r="B110" s="1">
        <v>45762</v>
      </c>
      <c r="C110" t="s">
        <v>32</v>
      </c>
      <c r="D110" t="s">
        <v>21</v>
      </c>
      <c r="E110" t="s">
        <v>27</v>
      </c>
      <c r="F110" t="s">
        <v>15</v>
      </c>
      <c r="G110" t="s">
        <v>30</v>
      </c>
      <c r="H110">
        <v>2</v>
      </c>
      <c r="I110">
        <v>9769.81</v>
      </c>
      <c r="J110">
        <v>19539.62</v>
      </c>
      <c r="K110">
        <v>5199.29</v>
      </c>
    </row>
    <row r="111" spans="1:11" x14ac:dyDescent="0.3">
      <c r="A111" t="s">
        <v>148</v>
      </c>
      <c r="B111" s="1">
        <v>45980</v>
      </c>
      <c r="C111" t="s">
        <v>29</v>
      </c>
      <c r="D111" t="s">
        <v>13</v>
      </c>
      <c r="E111" t="s">
        <v>14</v>
      </c>
      <c r="F111" t="s">
        <v>23</v>
      </c>
      <c r="G111" t="s">
        <v>30</v>
      </c>
      <c r="H111">
        <v>3</v>
      </c>
      <c r="I111">
        <v>12503.48</v>
      </c>
      <c r="J111">
        <v>37510.44</v>
      </c>
      <c r="K111">
        <v>11223.31</v>
      </c>
    </row>
    <row r="112" spans="1:11" x14ac:dyDescent="0.3">
      <c r="A112" t="s">
        <v>149</v>
      </c>
      <c r="B112" s="1">
        <v>45773</v>
      </c>
      <c r="C112" t="s">
        <v>12</v>
      </c>
      <c r="D112" t="s">
        <v>13</v>
      </c>
      <c r="E112" t="s">
        <v>27</v>
      </c>
      <c r="F112" t="s">
        <v>23</v>
      </c>
      <c r="G112" t="s">
        <v>16</v>
      </c>
      <c r="H112">
        <v>2</v>
      </c>
      <c r="I112">
        <v>16622.88</v>
      </c>
      <c r="J112">
        <v>33245.760000000002</v>
      </c>
      <c r="K112">
        <v>5440.43</v>
      </c>
    </row>
    <row r="113" spans="1:11" x14ac:dyDescent="0.3">
      <c r="A113" t="s">
        <v>150</v>
      </c>
      <c r="B113" s="1">
        <v>46019</v>
      </c>
      <c r="C113" t="s">
        <v>32</v>
      </c>
      <c r="D113" t="s">
        <v>21</v>
      </c>
      <c r="E113" t="s">
        <v>27</v>
      </c>
      <c r="F113" t="s">
        <v>15</v>
      </c>
      <c r="G113" t="s">
        <v>36</v>
      </c>
      <c r="H113">
        <v>1</v>
      </c>
      <c r="I113">
        <v>8968.5</v>
      </c>
      <c r="J113">
        <v>8968.5</v>
      </c>
      <c r="K113">
        <v>2306.9</v>
      </c>
    </row>
    <row r="114" spans="1:11" x14ac:dyDescent="0.3">
      <c r="A114" t="s">
        <v>151</v>
      </c>
      <c r="B114" s="1">
        <v>45755</v>
      </c>
      <c r="C114" t="s">
        <v>29</v>
      </c>
      <c r="D114" t="s">
        <v>13</v>
      </c>
      <c r="E114" t="s">
        <v>43</v>
      </c>
      <c r="F114" t="s">
        <v>23</v>
      </c>
      <c r="G114" t="s">
        <v>24</v>
      </c>
      <c r="H114">
        <v>2</v>
      </c>
      <c r="I114">
        <v>12910.38</v>
      </c>
      <c r="J114">
        <v>25820.76</v>
      </c>
      <c r="K114">
        <v>4011.33</v>
      </c>
    </row>
    <row r="115" spans="1:11" x14ac:dyDescent="0.3">
      <c r="A115" t="s">
        <v>152</v>
      </c>
      <c r="B115" s="1">
        <v>45917</v>
      </c>
      <c r="C115" t="s">
        <v>32</v>
      </c>
      <c r="D115" t="s">
        <v>21</v>
      </c>
      <c r="E115" t="s">
        <v>33</v>
      </c>
      <c r="F115" t="s">
        <v>23</v>
      </c>
      <c r="G115" t="s">
        <v>51</v>
      </c>
      <c r="H115">
        <v>3</v>
      </c>
      <c r="I115">
        <v>8609.11</v>
      </c>
      <c r="J115">
        <v>25827.33</v>
      </c>
      <c r="K115">
        <v>7809.55</v>
      </c>
    </row>
    <row r="116" spans="1:11" x14ac:dyDescent="0.3">
      <c r="A116" t="s">
        <v>153</v>
      </c>
      <c r="B116" s="1">
        <v>45886</v>
      </c>
      <c r="C116" t="s">
        <v>50</v>
      </c>
      <c r="D116" t="s">
        <v>39</v>
      </c>
      <c r="E116" t="s">
        <v>27</v>
      </c>
      <c r="F116" t="s">
        <v>23</v>
      </c>
      <c r="G116" t="s">
        <v>24</v>
      </c>
      <c r="H116">
        <v>2</v>
      </c>
      <c r="I116">
        <v>338.27</v>
      </c>
      <c r="J116">
        <v>676.54</v>
      </c>
      <c r="K116">
        <v>122.9</v>
      </c>
    </row>
    <row r="117" spans="1:11" x14ac:dyDescent="0.3">
      <c r="A117" t="s">
        <v>154</v>
      </c>
      <c r="B117" s="1">
        <v>45754</v>
      </c>
      <c r="C117" t="s">
        <v>57</v>
      </c>
      <c r="D117" t="s">
        <v>13</v>
      </c>
      <c r="E117" t="s">
        <v>27</v>
      </c>
      <c r="F117" t="s">
        <v>15</v>
      </c>
      <c r="G117" t="s">
        <v>24</v>
      </c>
      <c r="H117">
        <v>1</v>
      </c>
      <c r="I117">
        <v>488.3</v>
      </c>
      <c r="J117">
        <v>488.3</v>
      </c>
      <c r="K117">
        <v>76.88</v>
      </c>
    </row>
    <row r="118" spans="1:11" x14ac:dyDescent="0.3">
      <c r="A118" t="s">
        <v>155</v>
      </c>
      <c r="B118" s="1">
        <v>45900</v>
      </c>
      <c r="C118" t="s">
        <v>57</v>
      </c>
      <c r="D118" t="s">
        <v>13</v>
      </c>
      <c r="E118" t="s">
        <v>22</v>
      </c>
      <c r="F118" t="s">
        <v>23</v>
      </c>
      <c r="G118" t="s">
        <v>30</v>
      </c>
      <c r="H118">
        <v>4</v>
      </c>
      <c r="I118">
        <v>488.12</v>
      </c>
      <c r="J118">
        <v>1952.48</v>
      </c>
      <c r="K118">
        <v>240.18</v>
      </c>
    </row>
    <row r="119" spans="1:11" x14ac:dyDescent="0.3">
      <c r="A119" t="s">
        <v>156</v>
      </c>
      <c r="B119" s="1">
        <v>45722</v>
      </c>
      <c r="C119" t="s">
        <v>50</v>
      </c>
      <c r="D119" t="s">
        <v>39</v>
      </c>
      <c r="E119" t="s">
        <v>27</v>
      </c>
      <c r="F119" t="s">
        <v>15</v>
      </c>
      <c r="G119" t="s">
        <v>16</v>
      </c>
      <c r="H119">
        <v>5</v>
      </c>
      <c r="I119">
        <v>338.24</v>
      </c>
      <c r="J119">
        <v>1691.2</v>
      </c>
      <c r="K119">
        <v>598.52</v>
      </c>
    </row>
    <row r="120" spans="1:11" x14ac:dyDescent="0.3">
      <c r="A120" t="s">
        <v>157</v>
      </c>
      <c r="B120" s="1">
        <v>45891</v>
      </c>
      <c r="C120" t="s">
        <v>18</v>
      </c>
      <c r="D120" t="s">
        <v>13</v>
      </c>
      <c r="E120" t="s">
        <v>22</v>
      </c>
      <c r="F120" t="s">
        <v>15</v>
      </c>
      <c r="G120" t="s">
        <v>36</v>
      </c>
      <c r="H120">
        <v>3</v>
      </c>
      <c r="I120">
        <v>41243.82</v>
      </c>
      <c r="J120">
        <v>123731.46</v>
      </c>
      <c r="K120">
        <v>25953.52</v>
      </c>
    </row>
    <row r="121" spans="1:11" x14ac:dyDescent="0.3">
      <c r="A121" t="s">
        <v>158</v>
      </c>
      <c r="B121" s="1">
        <v>45793</v>
      </c>
      <c r="C121" t="s">
        <v>117</v>
      </c>
      <c r="D121" t="s">
        <v>63</v>
      </c>
      <c r="E121" t="s">
        <v>43</v>
      </c>
      <c r="F121" t="s">
        <v>23</v>
      </c>
      <c r="G121" t="s">
        <v>24</v>
      </c>
      <c r="H121">
        <v>2</v>
      </c>
      <c r="I121">
        <v>78.36</v>
      </c>
      <c r="J121">
        <v>156.72</v>
      </c>
      <c r="K121">
        <v>56.28</v>
      </c>
    </row>
    <row r="122" spans="1:11" x14ac:dyDescent="0.3">
      <c r="A122" t="s">
        <v>159</v>
      </c>
      <c r="B122" s="1">
        <v>45978</v>
      </c>
      <c r="C122" t="s">
        <v>57</v>
      </c>
      <c r="D122" t="s">
        <v>13</v>
      </c>
      <c r="E122" t="s">
        <v>33</v>
      </c>
      <c r="F122" t="s">
        <v>15</v>
      </c>
      <c r="G122" t="s">
        <v>51</v>
      </c>
      <c r="H122">
        <v>4</v>
      </c>
      <c r="I122">
        <v>498.79</v>
      </c>
      <c r="J122">
        <v>1995.16</v>
      </c>
      <c r="K122">
        <v>477.51</v>
      </c>
    </row>
    <row r="123" spans="1:11" x14ac:dyDescent="0.3">
      <c r="A123" t="s">
        <v>160</v>
      </c>
      <c r="B123" s="1">
        <v>45981</v>
      </c>
      <c r="C123" t="s">
        <v>35</v>
      </c>
      <c r="D123" t="s">
        <v>13</v>
      </c>
      <c r="E123" t="s">
        <v>27</v>
      </c>
      <c r="F123" t="s">
        <v>15</v>
      </c>
      <c r="G123" t="s">
        <v>30</v>
      </c>
      <c r="H123">
        <v>4</v>
      </c>
      <c r="I123">
        <v>989.54</v>
      </c>
      <c r="J123">
        <v>3958.16</v>
      </c>
      <c r="K123">
        <v>735.59</v>
      </c>
    </row>
    <row r="124" spans="1:11" x14ac:dyDescent="0.3">
      <c r="A124" t="s">
        <v>161</v>
      </c>
      <c r="B124" s="1">
        <v>45885</v>
      </c>
      <c r="C124" t="s">
        <v>26</v>
      </c>
      <c r="D124" t="s">
        <v>13</v>
      </c>
      <c r="E124" t="s">
        <v>14</v>
      </c>
      <c r="F124" t="s">
        <v>23</v>
      </c>
      <c r="G124" t="s">
        <v>24</v>
      </c>
      <c r="H124">
        <v>2</v>
      </c>
      <c r="I124">
        <v>1945.23</v>
      </c>
      <c r="J124">
        <v>3890.46</v>
      </c>
      <c r="K124">
        <v>1431.85</v>
      </c>
    </row>
    <row r="125" spans="1:11" x14ac:dyDescent="0.3">
      <c r="A125" t="s">
        <v>162</v>
      </c>
      <c r="B125" s="1">
        <v>45849</v>
      </c>
      <c r="C125" t="s">
        <v>62</v>
      </c>
      <c r="D125" t="s">
        <v>63</v>
      </c>
      <c r="E125" t="s">
        <v>22</v>
      </c>
      <c r="F125" t="s">
        <v>15</v>
      </c>
      <c r="G125" t="s">
        <v>51</v>
      </c>
      <c r="H125">
        <v>1</v>
      </c>
      <c r="I125">
        <v>120.75</v>
      </c>
      <c r="J125">
        <v>120.75</v>
      </c>
      <c r="K125">
        <v>28.12</v>
      </c>
    </row>
    <row r="126" spans="1:11" x14ac:dyDescent="0.3">
      <c r="A126" t="s">
        <v>163</v>
      </c>
      <c r="B126" s="1">
        <v>45698</v>
      </c>
      <c r="C126" t="s">
        <v>29</v>
      </c>
      <c r="D126" t="s">
        <v>13</v>
      </c>
      <c r="E126" t="s">
        <v>33</v>
      </c>
      <c r="F126" t="s">
        <v>15</v>
      </c>
      <c r="G126" t="s">
        <v>51</v>
      </c>
      <c r="H126">
        <v>4</v>
      </c>
      <c r="I126">
        <v>12287.3</v>
      </c>
      <c r="J126">
        <v>49149.2</v>
      </c>
      <c r="K126">
        <v>15599.18</v>
      </c>
    </row>
    <row r="127" spans="1:11" x14ac:dyDescent="0.3">
      <c r="A127" t="s">
        <v>164</v>
      </c>
      <c r="B127" s="1">
        <v>45894</v>
      </c>
      <c r="C127" t="s">
        <v>35</v>
      </c>
      <c r="D127" t="s">
        <v>13</v>
      </c>
      <c r="E127" t="s">
        <v>27</v>
      </c>
      <c r="F127" t="s">
        <v>23</v>
      </c>
      <c r="G127" t="s">
        <v>16</v>
      </c>
      <c r="H127">
        <v>1</v>
      </c>
      <c r="I127">
        <v>855.96</v>
      </c>
      <c r="J127">
        <v>855.96</v>
      </c>
      <c r="K127">
        <v>323.17</v>
      </c>
    </row>
    <row r="128" spans="1:11" x14ac:dyDescent="0.3">
      <c r="A128" t="s">
        <v>165</v>
      </c>
      <c r="B128" s="1">
        <v>45738</v>
      </c>
      <c r="C128" t="s">
        <v>12</v>
      </c>
      <c r="D128" t="s">
        <v>13</v>
      </c>
      <c r="E128" t="s">
        <v>27</v>
      </c>
      <c r="F128" t="s">
        <v>23</v>
      </c>
      <c r="G128" t="s">
        <v>36</v>
      </c>
      <c r="H128">
        <v>2</v>
      </c>
      <c r="I128">
        <v>17444.04</v>
      </c>
      <c r="J128">
        <v>34888.080000000002</v>
      </c>
      <c r="K128">
        <v>7927.67</v>
      </c>
    </row>
    <row r="129" spans="1:11" x14ac:dyDescent="0.3">
      <c r="A129" t="s">
        <v>166</v>
      </c>
      <c r="B129" s="1">
        <v>45812</v>
      </c>
      <c r="C129" t="s">
        <v>20</v>
      </c>
      <c r="D129" t="s">
        <v>21</v>
      </c>
      <c r="E129" t="s">
        <v>27</v>
      </c>
      <c r="F129" t="s">
        <v>23</v>
      </c>
      <c r="G129" t="s">
        <v>16</v>
      </c>
      <c r="H129">
        <v>5</v>
      </c>
      <c r="I129">
        <v>6959.34</v>
      </c>
      <c r="J129">
        <v>34796.699999999997</v>
      </c>
      <c r="K129">
        <v>12257.84</v>
      </c>
    </row>
    <row r="130" spans="1:11" x14ac:dyDescent="0.3">
      <c r="A130" t="s">
        <v>167</v>
      </c>
      <c r="B130" s="1">
        <v>45809</v>
      </c>
      <c r="C130" t="s">
        <v>57</v>
      </c>
      <c r="D130" t="s">
        <v>13</v>
      </c>
      <c r="E130" t="s">
        <v>43</v>
      </c>
      <c r="F130" t="s">
        <v>15</v>
      </c>
      <c r="G130" t="s">
        <v>16</v>
      </c>
      <c r="H130">
        <v>1</v>
      </c>
      <c r="I130">
        <v>547.79</v>
      </c>
      <c r="J130">
        <v>547.79</v>
      </c>
      <c r="K130">
        <v>114.41</v>
      </c>
    </row>
    <row r="131" spans="1:11" x14ac:dyDescent="0.3">
      <c r="A131" t="s">
        <v>168</v>
      </c>
      <c r="B131" s="1">
        <v>46009</v>
      </c>
      <c r="C131" t="s">
        <v>57</v>
      </c>
      <c r="D131" t="s">
        <v>13</v>
      </c>
      <c r="E131" t="s">
        <v>43</v>
      </c>
      <c r="F131" t="s">
        <v>15</v>
      </c>
      <c r="G131" t="s">
        <v>16</v>
      </c>
      <c r="H131">
        <v>5</v>
      </c>
      <c r="I131">
        <v>541.05999999999995</v>
      </c>
      <c r="J131">
        <v>2705.3</v>
      </c>
      <c r="K131">
        <v>503.88</v>
      </c>
    </row>
    <row r="132" spans="1:11" x14ac:dyDescent="0.3">
      <c r="A132" t="s">
        <v>169</v>
      </c>
      <c r="B132" s="1">
        <v>45838</v>
      </c>
      <c r="C132" t="s">
        <v>20</v>
      </c>
      <c r="D132" t="s">
        <v>21</v>
      </c>
      <c r="E132" t="s">
        <v>22</v>
      </c>
      <c r="F132" t="s">
        <v>15</v>
      </c>
      <c r="G132" t="s">
        <v>30</v>
      </c>
      <c r="H132">
        <v>2</v>
      </c>
      <c r="I132">
        <v>6657.16</v>
      </c>
      <c r="J132">
        <v>13314.32</v>
      </c>
      <c r="K132">
        <v>2713.21</v>
      </c>
    </row>
    <row r="133" spans="1:11" x14ac:dyDescent="0.3">
      <c r="A133" t="s">
        <v>170</v>
      </c>
      <c r="B133" s="1">
        <v>45816</v>
      </c>
      <c r="C133" t="s">
        <v>38</v>
      </c>
      <c r="D133" t="s">
        <v>39</v>
      </c>
      <c r="E133" t="s">
        <v>43</v>
      </c>
      <c r="F133" t="s">
        <v>23</v>
      </c>
      <c r="G133" t="s">
        <v>36</v>
      </c>
      <c r="H133">
        <v>1</v>
      </c>
      <c r="I133">
        <v>1167.57</v>
      </c>
      <c r="J133">
        <v>1167.57</v>
      </c>
      <c r="K133">
        <v>403.78</v>
      </c>
    </row>
    <row r="134" spans="1:11" x14ac:dyDescent="0.3">
      <c r="A134" t="s">
        <v>171</v>
      </c>
      <c r="B134" s="1">
        <v>45747</v>
      </c>
      <c r="C134" t="s">
        <v>20</v>
      </c>
      <c r="D134" t="s">
        <v>21</v>
      </c>
      <c r="E134" t="s">
        <v>33</v>
      </c>
      <c r="F134" t="s">
        <v>23</v>
      </c>
      <c r="G134" t="s">
        <v>51</v>
      </c>
      <c r="H134">
        <v>1</v>
      </c>
      <c r="I134">
        <v>6551.23</v>
      </c>
      <c r="J134">
        <v>6551.23</v>
      </c>
      <c r="K134">
        <v>834.71</v>
      </c>
    </row>
    <row r="135" spans="1:11" x14ac:dyDescent="0.3">
      <c r="A135" t="s">
        <v>172</v>
      </c>
      <c r="B135" s="1">
        <v>45789</v>
      </c>
      <c r="C135" t="s">
        <v>38</v>
      </c>
      <c r="D135" t="s">
        <v>39</v>
      </c>
      <c r="E135" t="s">
        <v>14</v>
      </c>
      <c r="F135" t="s">
        <v>23</v>
      </c>
      <c r="G135" t="s">
        <v>30</v>
      </c>
      <c r="H135">
        <v>5</v>
      </c>
      <c r="I135">
        <v>1150.83</v>
      </c>
      <c r="J135">
        <v>5754.15</v>
      </c>
      <c r="K135">
        <v>884.39</v>
      </c>
    </row>
    <row r="136" spans="1:11" x14ac:dyDescent="0.3">
      <c r="A136" t="s">
        <v>173</v>
      </c>
      <c r="B136" s="1">
        <v>45730</v>
      </c>
      <c r="C136" t="s">
        <v>20</v>
      </c>
      <c r="D136" t="s">
        <v>21</v>
      </c>
      <c r="E136" t="s">
        <v>33</v>
      </c>
      <c r="F136" t="s">
        <v>23</v>
      </c>
      <c r="G136" t="s">
        <v>30</v>
      </c>
      <c r="H136">
        <v>4</v>
      </c>
      <c r="I136">
        <v>6791.48</v>
      </c>
      <c r="J136">
        <v>27165.919999999998</v>
      </c>
      <c r="K136">
        <v>3401.58</v>
      </c>
    </row>
    <row r="137" spans="1:11" x14ac:dyDescent="0.3">
      <c r="A137" t="s">
        <v>174</v>
      </c>
      <c r="B137" s="1">
        <v>45860</v>
      </c>
      <c r="C137" t="s">
        <v>18</v>
      </c>
      <c r="D137" t="s">
        <v>13</v>
      </c>
      <c r="E137" t="s">
        <v>43</v>
      </c>
      <c r="F137" t="s">
        <v>23</v>
      </c>
      <c r="G137" t="s">
        <v>24</v>
      </c>
      <c r="H137">
        <v>1</v>
      </c>
      <c r="I137">
        <v>38838.15</v>
      </c>
      <c r="J137">
        <v>38838.15</v>
      </c>
      <c r="K137">
        <v>11036.55</v>
      </c>
    </row>
    <row r="138" spans="1:11" x14ac:dyDescent="0.3">
      <c r="A138" t="s">
        <v>175</v>
      </c>
      <c r="B138" s="1">
        <v>45713</v>
      </c>
      <c r="C138" t="s">
        <v>35</v>
      </c>
      <c r="D138" t="s">
        <v>13</v>
      </c>
      <c r="E138" t="s">
        <v>33</v>
      </c>
      <c r="F138" t="s">
        <v>23</v>
      </c>
      <c r="G138" t="s">
        <v>16</v>
      </c>
      <c r="H138">
        <v>1</v>
      </c>
      <c r="I138">
        <v>814.5</v>
      </c>
      <c r="J138">
        <v>814.5</v>
      </c>
      <c r="K138">
        <v>122.26</v>
      </c>
    </row>
    <row r="139" spans="1:11" x14ac:dyDescent="0.3">
      <c r="A139" t="s">
        <v>176</v>
      </c>
      <c r="B139" s="1">
        <v>45771</v>
      </c>
      <c r="C139" t="s">
        <v>35</v>
      </c>
      <c r="D139" t="s">
        <v>13</v>
      </c>
      <c r="E139" t="s">
        <v>43</v>
      </c>
      <c r="F139" t="s">
        <v>23</v>
      </c>
      <c r="G139" t="s">
        <v>30</v>
      </c>
      <c r="H139">
        <v>1</v>
      </c>
      <c r="I139">
        <v>958.29</v>
      </c>
      <c r="J139">
        <v>958.29</v>
      </c>
      <c r="K139">
        <v>137.57</v>
      </c>
    </row>
    <row r="140" spans="1:11" x14ac:dyDescent="0.3">
      <c r="A140" t="s">
        <v>177</v>
      </c>
      <c r="B140" s="1">
        <v>45729</v>
      </c>
      <c r="C140" t="s">
        <v>18</v>
      </c>
      <c r="D140" t="s">
        <v>13</v>
      </c>
      <c r="E140" t="s">
        <v>14</v>
      </c>
      <c r="F140" t="s">
        <v>15</v>
      </c>
      <c r="G140" t="s">
        <v>16</v>
      </c>
      <c r="H140">
        <v>4</v>
      </c>
      <c r="I140">
        <v>40356.660000000003</v>
      </c>
      <c r="J140">
        <v>161426.64000000001</v>
      </c>
      <c r="K140">
        <v>40666.21</v>
      </c>
    </row>
    <row r="141" spans="1:11" x14ac:dyDescent="0.3">
      <c r="A141" t="s">
        <v>178</v>
      </c>
      <c r="B141" s="1">
        <v>45727</v>
      </c>
      <c r="C141" t="s">
        <v>62</v>
      </c>
      <c r="D141" t="s">
        <v>63</v>
      </c>
      <c r="E141" t="s">
        <v>33</v>
      </c>
      <c r="F141" t="s">
        <v>23</v>
      </c>
      <c r="G141" t="s">
        <v>16</v>
      </c>
      <c r="H141">
        <v>2</v>
      </c>
      <c r="I141">
        <v>124.09</v>
      </c>
      <c r="J141">
        <v>248.18</v>
      </c>
      <c r="K141">
        <v>46.36</v>
      </c>
    </row>
    <row r="142" spans="1:11" x14ac:dyDescent="0.3">
      <c r="A142" t="s">
        <v>179</v>
      </c>
      <c r="B142" s="1">
        <v>45737</v>
      </c>
      <c r="C142" t="s">
        <v>62</v>
      </c>
      <c r="D142" t="s">
        <v>63</v>
      </c>
      <c r="E142" t="s">
        <v>43</v>
      </c>
      <c r="F142" t="s">
        <v>15</v>
      </c>
      <c r="G142" t="s">
        <v>24</v>
      </c>
      <c r="H142">
        <v>2</v>
      </c>
      <c r="I142">
        <v>128.01</v>
      </c>
      <c r="J142">
        <v>256.02</v>
      </c>
      <c r="K142">
        <v>56.31</v>
      </c>
    </row>
    <row r="143" spans="1:11" x14ac:dyDescent="0.3">
      <c r="A143" t="s">
        <v>180</v>
      </c>
      <c r="B143" s="1">
        <v>45769</v>
      </c>
      <c r="C143" t="s">
        <v>38</v>
      </c>
      <c r="D143" t="s">
        <v>39</v>
      </c>
      <c r="E143" t="s">
        <v>43</v>
      </c>
      <c r="F143" t="s">
        <v>23</v>
      </c>
      <c r="G143" t="s">
        <v>30</v>
      </c>
      <c r="H143">
        <v>2</v>
      </c>
      <c r="I143">
        <v>1136.67</v>
      </c>
      <c r="J143">
        <v>2273.34</v>
      </c>
      <c r="K143">
        <v>649.5</v>
      </c>
    </row>
    <row r="144" spans="1:11" x14ac:dyDescent="0.3">
      <c r="A144" t="s">
        <v>181</v>
      </c>
      <c r="B144" s="1">
        <v>45861</v>
      </c>
      <c r="C144" t="s">
        <v>32</v>
      </c>
      <c r="D144" t="s">
        <v>21</v>
      </c>
      <c r="E144" t="s">
        <v>27</v>
      </c>
      <c r="F144" t="s">
        <v>15</v>
      </c>
      <c r="G144" t="s">
        <v>51</v>
      </c>
      <c r="H144">
        <v>1</v>
      </c>
      <c r="I144">
        <v>8319.89</v>
      </c>
      <c r="J144">
        <v>8319.89</v>
      </c>
      <c r="K144">
        <v>1327.12</v>
      </c>
    </row>
    <row r="145" spans="1:11" x14ac:dyDescent="0.3">
      <c r="A145" t="s">
        <v>182</v>
      </c>
      <c r="B145" s="1">
        <v>45986</v>
      </c>
      <c r="C145" t="s">
        <v>35</v>
      </c>
      <c r="D145" t="s">
        <v>13</v>
      </c>
      <c r="E145" t="s">
        <v>22</v>
      </c>
      <c r="F145" t="s">
        <v>15</v>
      </c>
      <c r="G145" t="s">
        <v>16</v>
      </c>
      <c r="H145">
        <v>2</v>
      </c>
      <c r="I145">
        <v>813.84</v>
      </c>
      <c r="J145">
        <v>1627.68</v>
      </c>
      <c r="K145">
        <v>285.55</v>
      </c>
    </row>
    <row r="146" spans="1:11" x14ac:dyDescent="0.3">
      <c r="A146" t="s">
        <v>183</v>
      </c>
      <c r="B146" s="1">
        <v>45763</v>
      </c>
      <c r="C146" t="s">
        <v>12</v>
      </c>
      <c r="D146" t="s">
        <v>13</v>
      </c>
      <c r="E146" t="s">
        <v>22</v>
      </c>
      <c r="F146" t="s">
        <v>23</v>
      </c>
      <c r="G146" t="s">
        <v>51</v>
      </c>
      <c r="H146">
        <v>3</v>
      </c>
      <c r="I146">
        <v>18195.150000000001</v>
      </c>
      <c r="J146">
        <v>54585.45</v>
      </c>
      <c r="K146">
        <v>12420.4</v>
      </c>
    </row>
    <row r="147" spans="1:11" x14ac:dyDescent="0.3">
      <c r="A147" t="s">
        <v>184</v>
      </c>
      <c r="B147" s="1">
        <v>45963</v>
      </c>
      <c r="C147" t="s">
        <v>18</v>
      </c>
      <c r="D147" t="s">
        <v>13</v>
      </c>
      <c r="E147" t="s">
        <v>33</v>
      </c>
      <c r="F147" t="s">
        <v>23</v>
      </c>
      <c r="G147" t="s">
        <v>51</v>
      </c>
      <c r="H147">
        <v>1</v>
      </c>
      <c r="I147">
        <v>46065.84</v>
      </c>
      <c r="J147">
        <v>46065.84</v>
      </c>
      <c r="K147">
        <v>5677.29</v>
      </c>
    </row>
    <row r="148" spans="1:11" x14ac:dyDescent="0.3">
      <c r="A148" t="s">
        <v>185</v>
      </c>
      <c r="B148" s="1">
        <v>45714</v>
      </c>
      <c r="C148" t="s">
        <v>35</v>
      </c>
      <c r="D148" t="s">
        <v>13</v>
      </c>
      <c r="E148" t="s">
        <v>22</v>
      </c>
      <c r="F148" t="s">
        <v>23</v>
      </c>
      <c r="G148" t="s">
        <v>30</v>
      </c>
      <c r="H148">
        <v>4</v>
      </c>
      <c r="I148">
        <v>833.72</v>
      </c>
      <c r="J148">
        <v>3334.88</v>
      </c>
      <c r="K148">
        <v>956.63</v>
      </c>
    </row>
    <row r="149" spans="1:11" x14ac:dyDescent="0.3">
      <c r="A149" t="s">
        <v>186</v>
      </c>
      <c r="B149" s="1">
        <v>45747</v>
      </c>
      <c r="C149" t="s">
        <v>32</v>
      </c>
      <c r="D149" t="s">
        <v>21</v>
      </c>
      <c r="E149" t="s">
        <v>14</v>
      </c>
      <c r="F149" t="s">
        <v>23</v>
      </c>
      <c r="G149" t="s">
        <v>36</v>
      </c>
      <c r="H149">
        <v>1</v>
      </c>
      <c r="I149">
        <v>9435.09</v>
      </c>
      <c r="J149">
        <v>9435.09</v>
      </c>
      <c r="K149">
        <v>2294.7800000000002</v>
      </c>
    </row>
    <row r="150" spans="1:11" x14ac:dyDescent="0.3">
      <c r="A150" t="s">
        <v>187</v>
      </c>
      <c r="B150" s="1">
        <v>45843</v>
      </c>
      <c r="C150" t="s">
        <v>50</v>
      </c>
      <c r="D150" t="s">
        <v>39</v>
      </c>
      <c r="E150" t="s">
        <v>33</v>
      </c>
      <c r="F150" t="s">
        <v>15</v>
      </c>
      <c r="G150" t="s">
        <v>16</v>
      </c>
      <c r="H150">
        <v>2</v>
      </c>
      <c r="I150">
        <v>346.64</v>
      </c>
      <c r="J150">
        <v>693.28</v>
      </c>
      <c r="K150">
        <v>223.51</v>
      </c>
    </row>
    <row r="151" spans="1:11" x14ac:dyDescent="0.3">
      <c r="A151" t="s">
        <v>188</v>
      </c>
      <c r="B151" s="1">
        <v>45812</v>
      </c>
      <c r="C151" t="s">
        <v>38</v>
      </c>
      <c r="D151" t="s">
        <v>39</v>
      </c>
      <c r="E151" t="s">
        <v>27</v>
      </c>
      <c r="F151" t="s">
        <v>23</v>
      </c>
      <c r="G151" t="s">
        <v>30</v>
      </c>
      <c r="H151">
        <v>2</v>
      </c>
      <c r="I151">
        <v>1087.48</v>
      </c>
      <c r="J151">
        <v>2174.96</v>
      </c>
      <c r="K151">
        <v>261.79000000000002</v>
      </c>
    </row>
    <row r="152" spans="1:11" x14ac:dyDescent="0.3">
      <c r="A152" t="s">
        <v>189</v>
      </c>
      <c r="B152" s="1">
        <v>45909</v>
      </c>
      <c r="C152" t="s">
        <v>57</v>
      </c>
      <c r="D152" t="s">
        <v>13</v>
      </c>
      <c r="E152" t="s">
        <v>33</v>
      </c>
      <c r="F152" t="s">
        <v>15</v>
      </c>
      <c r="G152" t="s">
        <v>30</v>
      </c>
      <c r="H152">
        <v>4</v>
      </c>
      <c r="I152">
        <v>457.35</v>
      </c>
      <c r="J152">
        <v>1829.4</v>
      </c>
      <c r="K152">
        <v>656.74</v>
      </c>
    </row>
    <row r="153" spans="1:11" x14ac:dyDescent="0.3">
      <c r="A153" t="s">
        <v>190</v>
      </c>
      <c r="B153" s="1">
        <v>45722</v>
      </c>
      <c r="C153" t="s">
        <v>32</v>
      </c>
      <c r="D153" t="s">
        <v>21</v>
      </c>
      <c r="E153" t="s">
        <v>27</v>
      </c>
      <c r="F153" t="s">
        <v>23</v>
      </c>
      <c r="G153" t="s">
        <v>36</v>
      </c>
      <c r="H153">
        <v>2</v>
      </c>
      <c r="I153">
        <v>9153.66</v>
      </c>
      <c r="J153">
        <v>18307.32</v>
      </c>
      <c r="K153">
        <v>3567</v>
      </c>
    </row>
    <row r="154" spans="1:11" x14ac:dyDescent="0.3">
      <c r="A154" t="s">
        <v>191</v>
      </c>
      <c r="B154" s="1">
        <v>45916</v>
      </c>
      <c r="C154" t="s">
        <v>29</v>
      </c>
      <c r="D154" t="s">
        <v>13</v>
      </c>
      <c r="E154" t="s">
        <v>33</v>
      </c>
      <c r="F154" t="s">
        <v>15</v>
      </c>
      <c r="G154" t="s">
        <v>36</v>
      </c>
      <c r="H154">
        <v>2</v>
      </c>
      <c r="I154">
        <v>12703.43</v>
      </c>
      <c r="J154">
        <v>25406.86</v>
      </c>
      <c r="K154">
        <v>8898.81</v>
      </c>
    </row>
    <row r="155" spans="1:11" x14ac:dyDescent="0.3">
      <c r="A155" t="s">
        <v>192</v>
      </c>
      <c r="B155" s="1">
        <v>45889</v>
      </c>
      <c r="C155" t="s">
        <v>20</v>
      </c>
      <c r="D155" t="s">
        <v>21</v>
      </c>
      <c r="E155" t="s">
        <v>14</v>
      </c>
      <c r="F155" t="s">
        <v>23</v>
      </c>
      <c r="G155" t="s">
        <v>36</v>
      </c>
      <c r="H155">
        <v>1</v>
      </c>
      <c r="I155">
        <v>6925.64</v>
      </c>
      <c r="J155">
        <v>6925.64</v>
      </c>
      <c r="K155">
        <v>1913.76</v>
      </c>
    </row>
    <row r="156" spans="1:11" x14ac:dyDescent="0.3">
      <c r="A156" t="s">
        <v>193</v>
      </c>
      <c r="B156" s="1">
        <v>45818</v>
      </c>
      <c r="C156" t="s">
        <v>35</v>
      </c>
      <c r="D156" t="s">
        <v>13</v>
      </c>
      <c r="E156" t="s">
        <v>27</v>
      </c>
      <c r="F156" t="s">
        <v>15</v>
      </c>
      <c r="G156" t="s">
        <v>30</v>
      </c>
      <c r="H156">
        <v>1</v>
      </c>
      <c r="I156">
        <v>981.65</v>
      </c>
      <c r="J156">
        <v>981.65</v>
      </c>
      <c r="K156">
        <v>197.73</v>
      </c>
    </row>
    <row r="157" spans="1:11" x14ac:dyDescent="0.3">
      <c r="A157" t="s">
        <v>194</v>
      </c>
      <c r="B157" s="1">
        <v>45701</v>
      </c>
      <c r="C157" t="s">
        <v>12</v>
      </c>
      <c r="D157" t="s">
        <v>13</v>
      </c>
      <c r="E157" t="s">
        <v>22</v>
      </c>
      <c r="F157" t="s">
        <v>15</v>
      </c>
      <c r="G157" t="s">
        <v>16</v>
      </c>
      <c r="H157">
        <v>2</v>
      </c>
      <c r="I157">
        <v>18880.52</v>
      </c>
      <c r="J157">
        <v>37761.040000000001</v>
      </c>
      <c r="K157">
        <v>10690.6</v>
      </c>
    </row>
    <row r="158" spans="1:11" x14ac:dyDescent="0.3">
      <c r="A158" t="s">
        <v>195</v>
      </c>
      <c r="B158" s="1">
        <v>45945</v>
      </c>
      <c r="C158" t="s">
        <v>50</v>
      </c>
      <c r="D158" t="s">
        <v>39</v>
      </c>
      <c r="E158" t="s">
        <v>27</v>
      </c>
      <c r="F158" t="s">
        <v>15</v>
      </c>
      <c r="G158" t="s">
        <v>24</v>
      </c>
      <c r="H158">
        <v>1</v>
      </c>
      <c r="I158">
        <v>323.56</v>
      </c>
      <c r="J158">
        <v>323.56</v>
      </c>
      <c r="K158">
        <v>93.21</v>
      </c>
    </row>
    <row r="159" spans="1:11" x14ac:dyDescent="0.3">
      <c r="A159" t="s">
        <v>196</v>
      </c>
      <c r="B159" s="1">
        <v>45965</v>
      </c>
      <c r="C159" t="s">
        <v>32</v>
      </c>
      <c r="D159" t="s">
        <v>21</v>
      </c>
      <c r="E159" t="s">
        <v>27</v>
      </c>
      <c r="F159" t="s">
        <v>15</v>
      </c>
      <c r="G159" t="s">
        <v>30</v>
      </c>
      <c r="H159">
        <v>1</v>
      </c>
      <c r="I159">
        <v>9140.25</v>
      </c>
      <c r="J159">
        <v>9140.25</v>
      </c>
      <c r="K159">
        <v>2967.73</v>
      </c>
    </row>
    <row r="160" spans="1:11" x14ac:dyDescent="0.3">
      <c r="A160" t="s">
        <v>197</v>
      </c>
      <c r="B160" s="1">
        <v>45837</v>
      </c>
      <c r="C160" t="s">
        <v>50</v>
      </c>
      <c r="D160" t="s">
        <v>39</v>
      </c>
      <c r="E160" t="s">
        <v>27</v>
      </c>
      <c r="F160" t="s">
        <v>15</v>
      </c>
      <c r="G160" t="s">
        <v>16</v>
      </c>
      <c r="H160">
        <v>1</v>
      </c>
      <c r="I160">
        <v>368.38</v>
      </c>
      <c r="J160">
        <v>368.38</v>
      </c>
      <c r="K160">
        <v>85</v>
      </c>
    </row>
    <row r="161" spans="1:11" x14ac:dyDescent="0.3">
      <c r="A161" t="s">
        <v>198</v>
      </c>
      <c r="B161" s="1">
        <v>45994</v>
      </c>
      <c r="C161" t="s">
        <v>57</v>
      </c>
      <c r="D161" t="s">
        <v>13</v>
      </c>
      <c r="E161" t="s">
        <v>43</v>
      </c>
      <c r="F161" t="s">
        <v>23</v>
      </c>
      <c r="G161" t="s">
        <v>24</v>
      </c>
      <c r="H161">
        <v>1</v>
      </c>
      <c r="I161">
        <v>468.04</v>
      </c>
      <c r="J161">
        <v>468.04</v>
      </c>
      <c r="K161">
        <v>92.34</v>
      </c>
    </row>
    <row r="162" spans="1:11" x14ac:dyDescent="0.3">
      <c r="A162" t="s">
        <v>199</v>
      </c>
      <c r="B162" s="1">
        <v>45661</v>
      </c>
      <c r="C162" t="s">
        <v>26</v>
      </c>
      <c r="D162" t="s">
        <v>13</v>
      </c>
      <c r="E162" t="s">
        <v>22</v>
      </c>
      <c r="F162" t="s">
        <v>15</v>
      </c>
      <c r="G162" t="s">
        <v>30</v>
      </c>
      <c r="H162">
        <v>4</v>
      </c>
      <c r="I162">
        <v>1823.88</v>
      </c>
      <c r="J162">
        <v>7295.52</v>
      </c>
      <c r="K162">
        <v>2012.08</v>
      </c>
    </row>
    <row r="163" spans="1:11" x14ac:dyDescent="0.3">
      <c r="A163" t="s">
        <v>200</v>
      </c>
      <c r="B163" s="1">
        <v>45929</v>
      </c>
      <c r="C163" t="s">
        <v>20</v>
      </c>
      <c r="D163" t="s">
        <v>21</v>
      </c>
      <c r="E163" t="s">
        <v>43</v>
      </c>
      <c r="F163" t="s">
        <v>23</v>
      </c>
      <c r="G163" t="s">
        <v>16</v>
      </c>
      <c r="H163">
        <v>1</v>
      </c>
      <c r="I163">
        <v>6439.74</v>
      </c>
      <c r="J163">
        <v>6439.74</v>
      </c>
      <c r="K163">
        <v>2183.5500000000002</v>
      </c>
    </row>
    <row r="164" spans="1:11" x14ac:dyDescent="0.3">
      <c r="A164" t="s">
        <v>201</v>
      </c>
      <c r="B164" s="1">
        <v>45963</v>
      </c>
      <c r="C164" t="s">
        <v>12</v>
      </c>
      <c r="D164" t="s">
        <v>13</v>
      </c>
      <c r="E164" t="s">
        <v>14</v>
      </c>
      <c r="F164" t="s">
        <v>15</v>
      </c>
      <c r="G164" t="s">
        <v>24</v>
      </c>
      <c r="H164">
        <v>4</v>
      </c>
      <c r="I164">
        <v>16760.09</v>
      </c>
      <c r="J164">
        <v>67040.36</v>
      </c>
      <c r="K164">
        <v>12325.15</v>
      </c>
    </row>
    <row r="165" spans="1:11" x14ac:dyDescent="0.3">
      <c r="A165" t="s">
        <v>202</v>
      </c>
      <c r="B165" s="1">
        <v>45884</v>
      </c>
      <c r="C165" t="s">
        <v>35</v>
      </c>
      <c r="D165" t="s">
        <v>13</v>
      </c>
      <c r="E165" t="s">
        <v>22</v>
      </c>
      <c r="F165" t="s">
        <v>15</v>
      </c>
      <c r="G165" t="s">
        <v>24</v>
      </c>
      <c r="H165">
        <v>2</v>
      </c>
      <c r="I165">
        <v>919.27</v>
      </c>
      <c r="J165">
        <v>1838.54</v>
      </c>
      <c r="K165">
        <v>500.66</v>
      </c>
    </row>
    <row r="166" spans="1:11" x14ac:dyDescent="0.3">
      <c r="A166" t="s">
        <v>203</v>
      </c>
      <c r="B166" s="1">
        <v>45878</v>
      </c>
      <c r="C166" t="s">
        <v>12</v>
      </c>
      <c r="D166" t="s">
        <v>13</v>
      </c>
      <c r="E166" t="s">
        <v>43</v>
      </c>
      <c r="F166" t="s">
        <v>15</v>
      </c>
      <c r="G166" t="s">
        <v>51</v>
      </c>
      <c r="H166">
        <v>1</v>
      </c>
      <c r="I166">
        <v>18642.55</v>
      </c>
      <c r="J166">
        <v>18642.55</v>
      </c>
      <c r="K166">
        <v>4725.43</v>
      </c>
    </row>
    <row r="167" spans="1:11" x14ac:dyDescent="0.3">
      <c r="A167" t="s">
        <v>204</v>
      </c>
      <c r="B167" s="1">
        <v>45860</v>
      </c>
      <c r="C167" t="s">
        <v>29</v>
      </c>
      <c r="D167" t="s">
        <v>13</v>
      </c>
      <c r="E167" t="s">
        <v>22</v>
      </c>
      <c r="F167" t="s">
        <v>23</v>
      </c>
      <c r="G167" t="s">
        <v>24</v>
      </c>
      <c r="H167">
        <v>1</v>
      </c>
      <c r="I167">
        <v>11290.62</v>
      </c>
      <c r="J167">
        <v>11290.62</v>
      </c>
      <c r="K167">
        <v>1515.38</v>
      </c>
    </row>
    <row r="168" spans="1:11" x14ac:dyDescent="0.3">
      <c r="A168" t="s">
        <v>205</v>
      </c>
      <c r="B168" s="1">
        <v>45825</v>
      </c>
      <c r="C168" t="s">
        <v>12</v>
      </c>
      <c r="D168" t="s">
        <v>13</v>
      </c>
      <c r="E168" t="s">
        <v>27</v>
      </c>
      <c r="F168" t="s">
        <v>15</v>
      </c>
      <c r="G168" t="s">
        <v>16</v>
      </c>
      <c r="H168">
        <v>1</v>
      </c>
      <c r="I168">
        <v>18889.25</v>
      </c>
      <c r="J168">
        <v>18889.25</v>
      </c>
      <c r="K168">
        <v>6315.04</v>
      </c>
    </row>
    <row r="169" spans="1:11" x14ac:dyDescent="0.3">
      <c r="A169" t="s">
        <v>206</v>
      </c>
      <c r="B169" s="1">
        <v>45944</v>
      </c>
      <c r="C169" t="s">
        <v>35</v>
      </c>
      <c r="D169" t="s">
        <v>13</v>
      </c>
      <c r="E169" t="s">
        <v>14</v>
      </c>
      <c r="F169" t="s">
        <v>23</v>
      </c>
      <c r="G169" t="s">
        <v>30</v>
      </c>
      <c r="H169">
        <v>3</v>
      </c>
      <c r="I169">
        <v>822.97</v>
      </c>
      <c r="J169">
        <v>2468.91</v>
      </c>
      <c r="K169">
        <v>385</v>
      </c>
    </row>
    <row r="170" spans="1:11" x14ac:dyDescent="0.3">
      <c r="A170" t="s">
        <v>207</v>
      </c>
      <c r="B170" s="1">
        <v>45893</v>
      </c>
      <c r="C170" t="s">
        <v>12</v>
      </c>
      <c r="D170" t="s">
        <v>13</v>
      </c>
      <c r="E170" t="s">
        <v>27</v>
      </c>
      <c r="F170" t="s">
        <v>23</v>
      </c>
      <c r="G170" t="s">
        <v>30</v>
      </c>
      <c r="H170">
        <v>4</v>
      </c>
      <c r="I170">
        <v>18272.73</v>
      </c>
      <c r="J170">
        <v>73090.92</v>
      </c>
      <c r="K170">
        <v>16877.87</v>
      </c>
    </row>
    <row r="171" spans="1:11" x14ac:dyDescent="0.3">
      <c r="A171" t="s">
        <v>208</v>
      </c>
      <c r="B171" s="1">
        <v>45865</v>
      </c>
      <c r="C171" t="s">
        <v>18</v>
      </c>
      <c r="D171" t="s">
        <v>13</v>
      </c>
      <c r="E171" t="s">
        <v>27</v>
      </c>
      <c r="F171" t="s">
        <v>23</v>
      </c>
      <c r="G171" t="s">
        <v>30</v>
      </c>
      <c r="H171">
        <v>5</v>
      </c>
      <c r="I171">
        <v>39243.730000000003</v>
      </c>
      <c r="J171">
        <v>196218.65</v>
      </c>
      <c r="K171">
        <v>26218.79</v>
      </c>
    </row>
    <row r="172" spans="1:11" x14ac:dyDescent="0.3">
      <c r="A172" t="s">
        <v>209</v>
      </c>
      <c r="B172" s="1">
        <v>45881</v>
      </c>
      <c r="C172" t="s">
        <v>12</v>
      </c>
      <c r="D172" t="s">
        <v>13</v>
      </c>
      <c r="E172" t="s">
        <v>27</v>
      </c>
      <c r="F172" t="s">
        <v>23</v>
      </c>
      <c r="G172" t="s">
        <v>24</v>
      </c>
      <c r="H172">
        <v>1</v>
      </c>
      <c r="I172">
        <v>18319.939999999999</v>
      </c>
      <c r="J172">
        <v>18319.939999999999</v>
      </c>
      <c r="K172">
        <v>4465.8500000000004</v>
      </c>
    </row>
    <row r="173" spans="1:11" x14ac:dyDescent="0.3">
      <c r="A173" t="s">
        <v>210</v>
      </c>
      <c r="B173" s="1">
        <v>45771</v>
      </c>
      <c r="C173" t="s">
        <v>117</v>
      </c>
      <c r="D173" t="s">
        <v>63</v>
      </c>
      <c r="E173" t="s">
        <v>33</v>
      </c>
      <c r="F173" t="s">
        <v>15</v>
      </c>
      <c r="G173" t="s">
        <v>24</v>
      </c>
      <c r="H173">
        <v>3</v>
      </c>
      <c r="I173">
        <v>73.22</v>
      </c>
      <c r="J173">
        <v>219.66</v>
      </c>
      <c r="K173">
        <v>47.31</v>
      </c>
    </row>
    <row r="174" spans="1:11" x14ac:dyDescent="0.3">
      <c r="A174" t="s">
        <v>211</v>
      </c>
      <c r="B174" s="1">
        <v>45837</v>
      </c>
      <c r="C174" t="s">
        <v>57</v>
      </c>
      <c r="D174" t="s">
        <v>13</v>
      </c>
      <c r="E174" t="s">
        <v>14</v>
      </c>
      <c r="F174" t="s">
        <v>15</v>
      </c>
      <c r="G174" t="s">
        <v>24</v>
      </c>
      <c r="H174">
        <v>5</v>
      </c>
      <c r="I174">
        <v>514.54</v>
      </c>
      <c r="J174">
        <v>2572.6999999999998</v>
      </c>
      <c r="K174">
        <v>878.84</v>
      </c>
    </row>
    <row r="175" spans="1:11" x14ac:dyDescent="0.3">
      <c r="A175" t="s">
        <v>212</v>
      </c>
      <c r="B175" s="1">
        <v>45759</v>
      </c>
      <c r="C175" t="s">
        <v>26</v>
      </c>
      <c r="D175" t="s">
        <v>13</v>
      </c>
      <c r="E175" t="s">
        <v>22</v>
      </c>
      <c r="F175" t="s">
        <v>23</v>
      </c>
      <c r="G175" t="s">
        <v>36</v>
      </c>
      <c r="H175">
        <v>2</v>
      </c>
      <c r="I175">
        <v>1893.68</v>
      </c>
      <c r="J175">
        <v>3787.36</v>
      </c>
      <c r="K175">
        <v>793.71</v>
      </c>
    </row>
    <row r="176" spans="1:11" x14ac:dyDescent="0.3">
      <c r="A176" t="s">
        <v>213</v>
      </c>
      <c r="B176" s="1">
        <v>45946</v>
      </c>
      <c r="C176" t="s">
        <v>29</v>
      </c>
      <c r="D176" t="s">
        <v>13</v>
      </c>
      <c r="E176" t="s">
        <v>33</v>
      </c>
      <c r="F176" t="s">
        <v>23</v>
      </c>
      <c r="G176" t="s">
        <v>24</v>
      </c>
      <c r="H176">
        <v>2</v>
      </c>
      <c r="I176">
        <v>13017.97</v>
      </c>
      <c r="J176">
        <v>26035.94</v>
      </c>
      <c r="K176">
        <v>6072.42</v>
      </c>
    </row>
    <row r="177" spans="1:11" x14ac:dyDescent="0.3">
      <c r="A177" t="s">
        <v>214</v>
      </c>
      <c r="B177" s="1">
        <v>45735</v>
      </c>
      <c r="C177" t="s">
        <v>38</v>
      </c>
      <c r="D177" t="s">
        <v>39</v>
      </c>
      <c r="E177" t="s">
        <v>43</v>
      </c>
      <c r="F177" t="s">
        <v>15</v>
      </c>
      <c r="G177" t="s">
        <v>24</v>
      </c>
      <c r="H177">
        <v>1</v>
      </c>
      <c r="I177">
        <v>1186.1300000000001</v>
      </c>
      <c r="J177">
        <v>1186.1300000000001</v>
      </c>
      <c r="K177">
        <v>357.34</v>
      </c>
    </row>
    <row r="178" spans="1:11" x14ac:dyDescent="0.3">
      <c r="A178" t="s">
        <v>215</v>
      </c>
      <c r="B178" s="1">
        <v>45917</v>
      </c>
      <c r="C178" t="s">
        <v>12</v>
      </c>
      <c r="D178" t="s">
        <v>13</v>
      </c>
      <c r="E178" t="s">
        <v>43</v>
      </c>
      <c r="F178" t="s">
        <v>15</v>
      </c>
      <c r="G178" t="s">
        <v>30</v>
      </c>
      <c r="H178">
        <v>1</v>
      </c>
      <c r="I178">
        <v>17826.89</v>
      </c>
      <c r="J178">
        <v>17826.89</v>
      </c>
      <c r="K178">
        <v>6510.53</v>
      </c>
    </row>
    <row r="179" spans="1:11" x14ac:dyDescent="0.3">
      <c r="A179" t="s">
        <v>216</v>
      </c>
      <c r="B179" s="1">
        <v>45972</v>
      </c>
      <c r="C179" t="s">
        <v>29</v>
      </c>
      <c r="D179" t="s">
        <v>13</v>
      </c>
      <c r="E179" t="s">
        <v>14</v>
      </c>
      <c r="F179" t="s">
        <v>23</v>
      </c>
      <c r="G179" t="s">
        <v>16</v>
      </c>
      <c r="H179">
        <v>2</v>
      </c>
      <c r="I179">
        <v>11910.51</v>
      </c>
      <c r="J179">
        <v>23821.02</v>
      </c>
      <c r="K179">
        <v>5618.85</v>
      </c>
    </row>
    <row r="180" spans="1:11" x14ac:dyDescent="0.3">
      <c r="A180" t="s">
        <v>217</v>
      </c>
      <c r="B180" s="1">
        <v>45991</v>
      </c>
      <c r="C180" t="s">
        <v>20</v>
      </c>
      <c r="D180" t="s">
        <v>21</v>
      </c>
      <c r="E180" t="s">
        <v>14</v>
      </c>
      <c r="F180" t="s">
        <v>23</v>
      </c>
      <c r="G180" t="s">
        <v>30</v>
      </c>
      <c r="H180">
        <v>1</v>
      </c>
      <c r="I180">
        <v>6468.32</v>
      </c>
      <c r="J180">
        <v>6468.32</v>
      </c>
      <c r="K180">
        <v>2204.25</v>
      </c>
    </row>
    <row r="181" spans="1:11" x14ac:dyDescent="0.3">
      <c r="A181" t="s">
        <v>218</v>
      </c>
      <c r="B181" s="1">
        <v>45833</v>
      </c>
      <c r="C181" t="s">
        <v>57</v>
      </c>
      <c r="D181" t="s">
        <v>13</v>
      </c>
      <c r="E181" t="s">
        <v>27</v>
      </c>
      <c r="F181" t="s">
        <v>23</v>
      </c>
      <c r="G181" t="s">
        <v>16</v>
      </c>
      <c r="H181">
        <v>1</v>
      </c>
      <c r="I181">
        <v>514.61</v>
      </c>
      <c r="J181">
        <v>514.61</v>
      </c>
      <c r="K181">
        <v>190.31</v>
      </c>
    </row>
    <row r="182" spans="1:11" x14ac:dyDescent="0.3">
      <c r="A182" t="s">
        <v>219</v>
      </c>
      <c r="B182" s="1">
        <v>45925</v>
      </c>
      <c r="C182" t="s">
        <v>29</v>
      </c>
      <c r="D182" t="s">
        <v>13</v>
      </c>
      <c r="E182" t="s">
        <v>27</v>
      </c>
      <c r="F182" t="s">
        <v>23</v>
      </c>
      <c r="G182" t="s">
        <v>16</v>
      </c>
      <c r="H182">
        <v>1</v>
      </c>
      <c r="I182">
        <v>11694.84</v>
      </c>
      <c r="J182">
        <v>11694.84</v>
      </c>
      <c r="K182">
        <v>3583.86</v>
      </c>
    </row>
    <row r="183" spans="1:11" x14ac:dyDescent="0.3">
      <c r="A183" t="s">
        <v>220</v>
      </c>
      <c r="B183" s="1">
        <v>45684</v>
      </c>
      <c r="C183" t="s">
        <v>35</v>
      </c>
      <c r="D183" t="s">
        <v>13</v>
      </c>
      <c r="E183" t="s">
        <v>27</v>
      </c>
      <c r="F183" t="s">
        <v>23</v>
      </c>
      <c r="G183" t="s">
        <v>24</v>
      </c>
      <c r="H183">
        <v>2</v>
      </c>
      <c r="I183">
        <v>821.86</v>
      </c>
      <c r="J183">
        <v>1643.72</v>
      </c>
      <c r="K183">
        <v>584.22</v>
      </c>
    </row>
    <row r="184" spans="1:11" x14ac:dyDescent="0.3">
      <c r="A184" t="s">
        <v>221</v>
      </c>
      <c r="B184" s="1">
        <v>45994</v>
      </c>
      <c r="C184" t="s">
        <v>29</v>
      </c>
      <c r="D184" t="s">
        <v>13</v>
      </c>
      <c r="E184" t="s">
        <v>22</v>
      </c>
      <c r="F184" t="s">
        <v>23</v>
      </c>
      <c r="G184" t="s">
        <v>24</v>
      </c>
      <c r="H184">
        <v>4</v>
      </c>
      <c r="I184">
        <v>11600.07</v>
      </c>
      <c r="J184">
        <v>46400.28</v>
      </c>
      <c r="K184">
        <v>10601.89</v>
      </c>
    </row>
    <row r="185" spans="1:11" x14ac:dyDescent="0.3">
      <c r="A185" t="s">
        <v>222</v>
      </c>
      <c r="B185" s="1">
        <v>45993</v>
      </c>
      <c r="C185" t="s">
        <v>57</v>
      </c>
      <c r="D185" t="s">
        <v>13</v>
      </c>
      <c r="E185" t="s">
        <v>14</v>
      </c>
      <c r="F185" t="s">
        <v>23</v>
      </c>
      <c r="G185" t="s">
        <v>16</v>
      </c>
      <c r="H185">
        <v>2</v>
      </c>
      <c r="I185">
        <v>462.9</v>
      </c>
      <c r="J185">
        <v>925.8</v>
      </c>
      <c r="K185">
        <v>181.18</v>
      </c>
    </row>
    <row r="186" spans="1:11" x14ac:dyDescent="0.3">
      <c r="A186" t="s">
        <v>223</v>
      </c>
      <c r="B186" s="1">
        <v>45850</v>
      </c>
      <c r="C186" t="s">
        <v>35</v>
      </c>
      <c r="D186" t="s">
        <v>13</v>
      </c>
      <c r="E186" t="s">
        <v>33</v>
      </c>
      <c r="F186" t="s">
        <v>15</v>
      </c>
      <c r="G186" t="s">
        <v>36</v>
      </c>
      <c r="H186">
        <v>3</v>
      </c>
      <c r="I186">
        <v>956.37</v>
      </c>
      <c r="J186">
        <v>2869.11</v>
      </c>
      <c r="K186">
        <v>590.38</v>
      </c>
    </row>
    <row r="187" spans="1:11" x14ac:dyDescent="0.3">
      <c r="A187" t="s">
        <v>224</v>
      </c>
      <c r="B187" s="1">
        <v>45918</v>
      </c>
      <c r="C187" t="s">
        <v>117</v>
      </c>
      <c r="D187" t="s">
        <v>63</v>
      </c>
      <c r="E187" t="s">
        <v>43</v>
      </c>
      <c r="F187" t="s">
        <v>23</v>
      </c>
      <c r="G187" t="s">
        <v>51</v>
      </c>
      <c r="H187">
        <v>1</v>
      </c>
      <c r="I187">
        <v>76.94</v>
      </c>
      <c r="J187">
        <v>76.94</v>
      </c>
      <c r="K187">
        <v>10.210000000000001</v>
      </c>
    </row>
    <row r="188" spans="1:11" x14ac:dyDescent="0.3">
      <c r="A188" t="s">
        <v>225</v>
      </c>
      <c r="B188" s="1">
        <v>45773</v>
      </c>
      <c r="C188" t="s">
        <v>26</v>
      </c>
      <c r="D188" t="s">
        <v>13</v>
      </c>
      <c r="E188" t="s">
        <v>33</v>
      </c>
      <c r="F188" t="s">
        <v>15</v>
      </c>
      <c r="G188" t="s">
        <v>24</v>
      </c>
      <c r="H188">
        <v>1</v>
      </c>
      <c r="I188">
        <v>1726.49</v>
      </c>
      <c r="J188">
        <v>1726.49</v>
      </c>
      <c r="K188">
        <v>302.29000000000002</v>
      </c>
    </row>
    <row r="189" spans="1:11" x14ac:dyDescent="0.3">
      <c r="A189" t="s">
        <v>226</v>
      </c>
      <c r="B189" s="1">
        <v>45974</v>
      </c>
      <c r="C189" t="s">
        <v>26</v>
      </c>
      <c r="D189" t="s">
        <v>13</v>
      </c>
      <c r="E189" t="s">
        <v>33</v>
      </c>
      <c r="F189" t="s">
        <v>15</v>
      </c>
      <c r="G189" t="s">
        <v>36</v>
      </c>
      <c r="H189">
        <v>2</v>
      </c>
      <c r="I189">
        <v>1675.53</v>
      </c>
      <c r="J189">
        <v>3351.06</v>
      </c>
      <c r="K189">
        <v>1115.8399999999999</v>
      </c>
    </row>
    <row r="190" spans="1:11" x14ac:dyDescent="0.3">
      <c r="A190" t="s">
        <v>227</v>
      </c>
      <c r="B190" s="1">
        <v>45680</v>
      </c>
      <c r="C190" t="s">
        <v>62</v>
      </c>
      <c r="D190" t="s">
        <v>63</v>
      </c>
      <c r="E190" t="s">
        <v>33</v>
      </c>
      <c r="F190" t="s">
        <v>23</v>
      </c>
      <c r="G190" t="s">
        <v>36</v>
      </c>
      <c r="H190">
        <v>1</v>
      </c>
      <c r="I190">
        <v>125.27</v>
      </c>
      <c r="J190">
        <v>125.27</v>
      </c>
      <c r="K190">
        <v>16.02</v>
      </c>
    </row>
    <row r="191" spans="1:11" x14ac:dyDescent="0.3">
      <c r="A191" t="s">
        <v>228</v>
      </c>
      <c r="B191" s="1">
        <v>45777</v>
      </c>
      <c r="C191" t="s">
        <v>50</v>
      </c>
      <c r="D191" t="s">
        <v>39</v>
      </c>
      <c r="E191" t="s">
        <v>22</v>
      </c>
      <c r="F191" t="s">
        <v>23</v>
      </c>
      <c r="G191" t="s">
        <v>16</v>
      </c>
      <c r="H191">
        <v>1</v>
      </c>
      <c r="I191">
        <v>382.59</v>
      </c>
      <c r="J191">
        <v>382.59</v>
      </c>
      <c r="K191">
        <v>67.36</v>
      </c>
    </row>
    <row r="192" spans="1:11" x14ac:dyDescent="0.3">
      <c r="A192" t="s">
        <v>229</v>
      </c>
      <c r="B192" s="1">
        <v>45883</v>
      </c>
      <c r="C192" t="s">
        <v>38</v>
      </c>
      <c r="D192" t="s">
        <v>39</v>
      </c>
      <c r="E192" t="s">
        <v>27</v>
      </c>
      <c r="F192" t="s">
        <v>15</v>
      </c>
      <c r="G192" t="s">
        <v>51</v>
      </c>
      <c r="H192">
        <v>3</v>
      </c>
      <c r="I192">
        <v>1266.75</v>
      </c>
      <c r="J192">
        <v>3800.25</v>
      </c>
      <c r="K192">
        <v>947.19</v>
      </c>
    </row>
    <row r="193" spans="1:11" x14ac:dyDescent="0.3">
      <c r="A193" t="s">
        <v>230</v>
      </c>
      <c r="B193" s="1">
        <v>45967</v>
      </c>
      <c r="C193" t="s">
        <v>26</v>
      </c>
      <c r="D193" t="s">
        <v>13</v>
      </c>
      <c r="E193" t="s">
        <v>43</v>
      </c>
      <c r="F193" t="s">
        <v>15</v>
      </c>
      <c r="G193" t="s">
        <v>16</v>
      </c>
      <c r="H193">
        <v>4</v>
      </c>
      <c r="I193">
        <v>1638.78</v>
      </c>
      <c r="J193">
        <v>6555.12</v>
      </c>
      <c r="K193">
        <v>1671.86</v>
      </c>
    </row>
    <row r="194" spans="1:11" x14ac:dyDescent="0.3">
      <c r="A194" t="s">
        <v>231</v>
      </c>
      <c r="B194" s="1">
        <v>45721</v>
      </c>
      <c r="C194" t="s">
        <v>32</v>
      </c>
      <c r="D194" t="s">
        <v>21</v>
      </c>
      <c r="E194" t="s">
        <v>33</v>
      </c>
      <c r="F194" t="s">
        <v>15</v>
      </c>
      <c r="G194" t="s">
        <v>36</v>
      </c>
      <c r="H194">
        <v>1</v>
      </c>
      <c r="I194">
        <v>8388.56</v>
      </c>
      <c r="J194">
        <v>8388.56</v>
      </c>
      <c r="K194">
        <v>2207.6799999999998</v>
      </c>
    </row>
    <row r="195" spans="1:11" x14ac:dyDescent="0.3">
      <c r="A195" t="s">
        <v>232</v>
      </c>
      <c r="B195" s="1">
        <v>45704</v>
      </c>
      <c r="C195" t="s">
        <v>20</v>
      </c>
      <c r="D195" t="s">
        <v>21</v>
      </c>
      <c r="E195" t="s">
        <v>27</v>
      </c>
      <c r="F195" t="s">
        <v>15</v>
      </c>
      <c r="G195" t="s">
        <v>36</v>
      </c>
      <c r="H195">
        <v>3</v>
      </c>
      <c r="I195">
        <v>7000.02</v>
      </c>
      <c r="J195">
        <v>21000.06</v>
      </c>
      <c r="K195">
        <v>2899.63</v>
      </c>
    </row>
    <row r="196" spans="1:11" x14ac:dyDescent="0.3">
      <c r="A196" t="s">
        <v>233</v>
      </c>
      <c r="B196" s="1">
        <v>45915</v>
      </c>
      <c r="C196" t="s">
        <v>117</v>
      </c>
      <c r="D196" t="s">
        <v>63</v>
      </c>
      <c r="E196" t="s">
        <v>14</v>
      </c>
      <c r="F196" t="s">
        <v>23</v>
      </c>
      <c r="G196" t="s">
        <v>30</v>
      </c>
      <c r="H196">
        <v>1</v>
      </c>
      <c r="I196">
        <v>87.91</v>
      </c>
      <c r="J196">
        <v>87.91</v>
      </c>
      <c r="K196">
        <v>24.84</v>
      </c>
    </row>
    <row r="197" spans="1:11" x14ac:dyDescent="0.3">
      <c r="A197" t="s">
        <v>234</v>
      </c>
      <c r="B197" s="1">
        <v>45990</v>
      </c>
      <c r="C197" t="s">
        <v>117</v>
      </c>
      <c r="D197" t="s">
        <v>63</v>
      </c>
      <c r="E197" t="s">
        <v>27</v>
      </c>
      <c r="F197" t="s">
        <v>15</v>
      </c>
      <c r="G197" t="s">
        <v>36</v>
      </c>
      <c r="H197">
        <v>3</v>
      </c>
      <c r="I197">
        <v>74.2</v>
      </c>
      <c r="J197">
        <v>222.6</v>
      </c>
      <c r="K197">
        <v>67.98</v>
      </c>
    </row>
    <row r="198" spans="1:11" x14ac:dyDescent="0.3">
      <c r="A198" t="s">
        <v>235</v>
      </c>
      <c r="B198" s="1">
        <v>45887</v>
      </c>
      <c r="C198" t="s">
        <v>29</v>
      </c>
      <c r="D198" t="s">
        <v>13</v>
      </c>
      <c r="E198" t="s">
        <v>22</v>
      </c>
      <c r="F198" t="s">
        <v>23</v>
      </c>
      <c r="G198" t="s">
        <v>30</v>
      </c>
      <c r="H198">
        <v>1</v>
      </c>
      <c r="I198">
        <v>10990.14</v>
      </c>
      <c r="J198">
        <v>10990.14</v>
      </c>
      <c r="K198">
        <v>3444.97</v>
      </c>
    </row>
    <row r="199" spans="1:11" x14ac:dyDescent="0.3">
      <c r="A199" t="s">
        <v>236</v>
      </c>
      <c r="B199" s="1">
        <v>45805</v>
      </c>
      <c r="C199" t="s">
        <v>20</v>
      </c>
      <c r="D199" t="s">
        <v>21</v>
      </c>
      <c r="E199" t="s">
        <v>33</v>
      </c>
      <c r="F199" t="s">
        <v>23</v>
      </c>
      <c r="G199" t="s">
        <v>30</v>
      </c>
      <c r="H199">
        <v>1</v>
      </c>
      <c r="I199">
        <v>5912.07</v>
      </c>
      <c r="J199">
        <v>5912.07</v>
      </c>
      <c r="K199">
        <v>1601.26</v>
      </c>
    </row>
    <row r="200" spans="1:11" x14ac:dyDescent="0.3">
      <c r="A200" t="s">
        <v>237</v>
      </c>
      <c r="B200" s="1">
        <v>45714</v>
      </c>
      <c r="C200" t="s">
        <v>38</v>
      </c>
      <c r="D200" t="s">
        <v>39</v>
      </c>
      <c r="E200" t="s">
        <v>22</v>
      </c>
      <c r="F200" t="s">
        <v>15</v>
      </c>
      <c r="G200" t="s">
        <v>24</v>
      </c>
      <c r="H200">
        <v>2</v>
      </c>
      <c r="I200">
        <v>1083.94</v>
      </c>
      <c r="J200">
        <v>2167.88</v>
      </c>
      <c r="K200">
        <v>533.29999999999995</v>
      </c>
    </row>
    <row r="201" spans="1:11" x14ac:dyDescent="0.3">
      <c r="A201" t="s">
        <v>238</v>
      </c>
      <c r="B201" s="1">
        <v>45877</v>
      </c>
      <c r="C201" t="s">
        <v>18</v>
      </c>
      <c r="D201" t="s">
        <v>13</v>
      </c>
      <c r="E201" t="s">
        <v>14</v>
      </c>
      <c r="F201" t="s">
        <v>23</v>
      </c>
      <c r="G201" t="s">
        <v>30</v>
      </c>
      <c r="H201">
        <v>2</v>
      </c>
      <c r="I201">
        <v>39820.74</v>
      </c>
      <c r="J201">
        <v>79641.48</v>
      </c>
      <c r="K201">
        <v>21637.99</v>
      </c>
    </row>
    <row r="202" spans="1:11" x14ac:dyDescent="0.3">
      <c r="A202" t="s">
        <v>239</v>
      </c>
      <c r="B202" s="1">
        <v>45927</v>
      </c>
      <c r="C202" t="s">
        <v>50</v>
      </c>
      <c r="D202" t="s">
        <v>39</v>
      </c>
      <c r="E202" t="s">
        <v>27</v>
      </c>
      <c r="F202" t="s">
        <v>23</v>
      </c>
      <c r="G202" t="s">
        <v>30</v>
      </c>
      <c r="H202">
        <v>2</v>
      </c>
      <c r="I202">
        <v>384.18</v>
      </c>
      <c r="J202">
        <v>768.36</v>
      </c>
      <c r="K202">
        <v>181.27</v>
      </c>
    </row>
    <row r="203" spans="1:11" x14ac:dyDescent="0.3">
      <c r="A203" t="s">
        <v>240</v>
      </c>
      <c r="B203" s="1">
        <v>45983</v>
      </c>
      <c r="C203" t="s">
        <v>62</v>
      </c>
      <c r="D203" t="s">
        <v>63</v>
      </c>
      <c r="E203" t="s">
        <v>14</v>
      </c>
      <c r="F203" t="s">
        <v>23</v>
      </c>
      <c r="G203" t="s">
        <v>51</v>
      </c>
      <c r="H203">
        <v>5</v>
      </c>
      <c r="I203">
        <v>114.09</v>
      </c>
      <c r="J203">
        <v>570.45000000000005</v>
      </c>
      <c r="K203">
        <v>214.36</v>
      </c>
    </row>
    <row r="204" spans="1:11" x14ac:dyDescent="0.3">
      <c r="A204" t="s">
        <v>241</v>
      </c>
      <c r="B204" s="1">
        <v>45994</v>
      </c>
      <c r="C204" t="s">
        <v>35</v>
      </c>
      <c r="D204" t="s">
        <v>13</v>
      </c>
      <c r="E204" t="s">
        <v>22</v>
      </c>
      <c r="F204" t="s">
        <v>15</v>
      </c>
      <c r="G204" t="s">
        <v>24</v>
      </c>
      <c r="H204">
        <v>1</v>
      </c>
      <c r="I204">
        <v>914.74</v>
      </c>
      <c r="J204">
        <v>914.74</v>
      </c>
      <c r="K204">
        <v>167.64</v>
      </c>
    </row>
    <row r="205" spans="1:11" x14ac:dyDescent="0.3">
      <c r="A205" t="s">
        <v>242</v>
      </c>
      <c r="B205" s="1">
        <v>45937</v>
      </c>
      <c r="C205" t="s">
        <v>117</v>
      </c>
      <c r="D205" t="s">
        <v>63</v>
      </c>
      <c r="E205" t="s">
        <v>27</v>
      </c>
      <c r="F205" t="s">
        <v>23</v>
      </c>
      <c r="G205" t="s">
        <v>51</v>
      </c>
      <c r="H205">
        <v>3</v>
      </c>
      <c r="I205">
        <v>74.8</v>
      </c>
      <c r="J205">
        <v>224.4</v>
      </c>
      <c r="K205">
        <v>39.81</v>
      </c>
    </row>
    <row r="206" spans="1:11" x14ac:dyDescent="0.3">
      <c r="A206" t="s">
        <v>243</v>
      </c>
      <c r="B206" s="1">
        <v>45727</v>
      </c>
      <c r="C206" t="s">
        <v>12</v>
      </c>
      <c r="D206" t="s">
        <v>13</v>
      </c>
      <c r="E206" t="s">
        <v>22</v>
      </c>
      <c r="F206" t="s">
        <v>15</v>
      </c>
      <c r="G206" t="s">
        <v>51</v>
      </c>
      <c r="H206">
        <v>3</v>
      </c>
      <c r="I206">
        <v>19596.98</v>
      </c>
      <c r="J206">
        <v>58790.94</v>
      </c>
      <c r="K206">
        <v>21775.24</v>
      </c>
    </row>
    <row r="207" spans="1:11" x14ac:dyDescent="0.3">
      <c r="A207" t="s">
        <v>244</v>
      </c>
      <c r="B207" s="1">
        <v>45679</v>
      </c>
      <c r="C207" t="s">
        <v>117</v>
      </c>
      <c r="D207" t="s">
        <v>63</v>
      </c>
      <c r="E207" t="s">
        <v>33</v>
      </c>
      <c r="F207" t="s">
        <v>23</v>
      </c>
      <c r="G207" t="s">
        <v>24</v>
      </c>
      <c r="H207">
        <v>4</v>
      </c>
      <c r="I207">
        <v>80.25</v>
      </c>
      <c r="J207">
        <v>321</v>
      </c>
      <c r="K207">
        <v>39.43</v>
      </c>
    </row>
    <row r="208" spans="1:11" x14ac:dyDescent="0.3">
      <c r="A208" t="s">
        <v>245</v>
      </c>
      <c r="B208" s="1">
        <v>45676</v>
      </c>
      <c r="C208" t="s">
        <v>35</v>
      </c>
      <c r="D208" t="s">
        <v>13</v>
      </c>
      <c r="E208" t="s">
        <v>43</v>
      </c>
      <c r="F208" t="s">
        <v>23</v>
      </c>
      <c r="G208" t="s">
        <v>30</v>
      </c>
      <c r="H208">
        <v>1</v>
      </c>
      <c r="I208">
        <v>874.26</v>
      </c>
      <c r="J208">
        <v>874.26</v>
      </c>
      <c r="K208">
        <v>154.72999999999999</v>
      </c>
    </row>
    <row r="209" spans="1:11" x14ac:dyDescent="0.3">
      <c r="A209" t="s">
        <v>246</v>
      </c>
      <c r="B209" s="1">
        <v>45846</v>
      </c>
      <c r="C209" t="s">
        <v>62</v>
      </c>
      <c r="D209" t="s">
        <v>63</v>
      </c>
      <c r="E209" t="s">
        <v>27</v>
      </c>
      <c r="F209" t="s">
        <v>23</v>
      </c>
      <c r="G209" t="s">
        <v>51</v>
      </c>
      <c r="H209">
        <v>4</v>
      </c>
      <c r="I209">
        <v>125.84</v>
      </c>
      <c r="J209">
        <v>503.36</v>
      </c>
      <c r="K209">
        <v>74.19</v>
      </c>
    </row>
    <row r="210" spans="1:11" x14ac:dyDescent="0.3">
      <c r="A210" t="s">
        <v>247</v>
      </c>
      <c r="B210" s="1">
        <v>45912</v>
      </c>
      <c r="C210" t="s">
        <v>57</v>
      </c>
      <c r="D210" t="s">
        <v>13</v>
      </c>
      <c r="E210" t="s">
        <v>14</v>
      </c>
      <c r="F210" t="s">
        <v>23</v>
      </c>
      <c r="G210" t="s">
        <v>30</v>
      </c>
      <c r="H210">
        <v>2</v>
      </c>
      <c r="I210">
        <v>542.42999999999995</v>
      </c>
      <c r="J210">
        <v>1084.8599999999999</v>
      </c>
      <c r="K210">
        <v>265.77999999999997</v>
      </c>
    </row>
    <row r="211" spans="1:11" x14ac:dyDescent="0.3">
      <c r="A211" t="s">
        <v>248</v>
      </c>
      <c r="B211" s="1">
        <v>45878</v>
      </c>
      <c r="C211" t="s">
        <v>29</v>
      </c>
      <c r="D211" t="s">
        <v>13</v>
      </c>
      <c r="E211" t="s">
        <v>14</v>
      </c>
      <c r="F211" t="s">
        <v>15</v>
      </c>
      <c r="G211" t="s">
        <v>24</v>
      </c>
      <c r="H211">
        <v>5</v>
      </c>
      <c r="I211">
        <v>11233.1</v>
      </c>
      <c r="J211">
        <v>56165.5</v>
      </c>
      <c r="K211">
        <v>17053.009999999998</v>
      </c>
    </row>
    <row r="212" spans="1:11" x14ac:dyDescent="0.3">
      <c r="A212" t="s">
        <v>249</v>
      </c>
      <c r="B212" s="1">
        <v>45996</v>
      </c>
      <c r="C212" t="s">
        <v>32</v>
      </c>
      <c r="D212" t="s">
        <v>21</v>
      </c>
      <c r="E212" t="s">
        <v>27</v>
      </c>
      <c r="F212" t="s">
        <v>23</v>
      </c>
      <c r="G212" t="s">
        <v>36</v>
      </c>
      <c r="H212">
        <v>1</v>
      </c>
      <c r="I212">
        <v>9184.7199999999993</v>
      </c>
      <c r="J212">
        <v>9184.7199999999993</v>
      </c>
      <c r="K212">
        <v>2472.62</v>
      </c>
    </row>
    <row r="213" spans="1:11" x14ac:dyDescent="0.3">
      <c r="A213" t="s">
        <v>250</v>
      </c>
      <c r="B213" s="1">
        <v>45679</v>
      </c>
      <c r="C213" t="s">
        <v>57</v>
      </c>
      <c r="D213" t="s">
        <v>13</v>
      </c>
      <c r="E213" t="s">
        <v>43</v>
      </c>
      <c r="F213" t="s">
        <v>15</v>
      </c>
      <c r="G213" t="s">
        <v>30</v>
      </c>
      <c r="H213">
        <v>4</v>
      </c>
      <c r="I213">
        <v>485.26</v>
      </c>
      <c r="J213">
        <v>1941.04</v>
      </c>
      <c r="K213">
        <v>233.86</v>
      </c>
    </row>
    <row r="214" spans="1:11" x14ac:dyDescent="0.3">
      <c r="A214" t="s">
        <v>251</v>
      </c>
      <c r="B214" s="1">
        <v>46001</v>
      </c>
      <c r="C214" t="s">
        <v>35</v>
      </c>
      <c r="D214" t="s">
        <v>13</v>
      </c>
      <c r="E214" t="s">
        <v>22</v>
      </c>
      <c r="F214" t="s">
        <v>15</v>
      </c>
      <c r="G214" t="s">
        <v>51</v>
      </c>
      <c r="H214">
        <v>1</v>
      </c>
      <c r="I214">
        <v>902.36</v>
      </c>
      <c r="J214">
        <v>902.36</v>
      </c>
      <c r="K214">
        <v>166.96</v>
      </c>
    </row>
    <row r="215" spans="1:11" x14ac:dyDescent="0.3">
      <c r="A215" t="s">
        <v>252</v>
      </c>
      <c r="B215" s="1">
        <v>45969</v>
      </c>
      <c r="C215" t="s">
        <v>35</v>
      </c>
      <c r="D215" t="s">
        <v>13</v>
      </c>
      <c r="E215" t="s">
        <v>43</v>
      </c>
      <c r="F215" t="s">
        <v>23</v>
      </c>
      <c r="G215" t="s">
        <v>36</v>
      </c>
      <c r="H215">
        <v>3</v>
      </c>
      <c r="I215">
        <v>816.26</v>
      </c>
      <c r="J215">
        <v>2448.7800000000002</v>
      </c>
      <c r="K215">
        <v>887.73</v>
      </c>
    </row>
    <row r="216" spans="1:11" x14ac:dyDescent="0.3">
      <c r="A216" t="s">
        <v>253</v>
      </c>
      <c r="B216" s="1">
        <v>45948</v>
      </c>
      <c r="C216" t="s">
        <v>18</v>
      </c>
      <c r="D216" t="s">
        <v>13</v>
      </c>
      <c r="E216" t="s">
        <v>43</v>
      </c>
      <c r="F216" t="s">
        <v>23</v>
      </c>
      <c r="G216" t="s">
        <v>30</v>
      </c>
      <c r="H216">
        <v>2</v>
      </c>
      <c r="I216">
        <v>43504.12</v>
      </c>
      <c r="J216">
        <v>87008.24</v>
      </c>
      <c r="K216">
        <v>11598.71</v>
      </c>
    </row>
    <row r="217" spans="1:11" x14ac:dyDescent="0.3">
      <c r="A217" t="s">
        <v>254</v>
      </c>
      <c r="B217" s="1">
        <v>45951</v>
      </c>
      <c r="C217" t="s">
        <v>26</v>
      </c>
      <c r="D217" t="s">
        <v>13</v>
      </c>
      <c r="E217" t="s">
        <v>22</v>
      </c>
      <c r="F217" t="s">
        <v>15</v>
      </c>
      <c r="G217" t="s">
        <v>30</v>
      </c>
      <c r="H217">
        <v>2</v>
      </c>
      <c r="I217">
        <v>1763.29</v>
      </c>
      <c r="J217">
        <v>3526.58</v>
      </c>
      <c r="K217">
        <v>744.51</v>
      </c>
    </row>
    <row r="218" spans="1:11" x14ac:dyDescent="0.3">
      <c r="A218" t="s">
        <v>255</v>
      </c>
      <c r="B218" s="1">
        <v>45753</v>
      </c>
      <c r="C218" t="s">
        <v>38</v>
      </c>
      <c r="D218" t="s">
        <v>39</v>
      </c>
      <c r="E218" t="s">
        <v>43</v>
      </c>
      <c r="F218" t="s">
        <v>23</v>
      </c>
      <c r="G218" t="s">
        <v>51</v>
      </c>
      <c r="H218">
        <v>2</v>
      </c>
      <c r="I218">
        <v>1299.25</v>
      </c>
      <c r="J218">
        <v>2598.5</v>
      </c>
      <c r="K218">
        <v>907.87</v>
      </c>
    </row>
    <row r="219" spans="1:11" x14ac:dyDescent="0.3">
      <c r="A219" t="s">
        <v>256</v>
      </c>
      <c r="B219" s="1">
        <v>45971</v>
      </c>
      <c r="C219" t="s">
        <v>32</v>
      </c>
      <c r="D219" t="s">
        <v>21</v>
      </c>
      <c r="E219" t="s">
        <v>22</v>
      </c>
      <c r="F219" t="s">
        <v>15</v>
      </c>
      <c r="G219" t="s">
        <v>36</v>
      </c>
      <c r="H219">
        <v>2</v>
      </c>
      <c r="I219">
        <v>9897.5300000000007</v>
      </c>
      <c r="J219">
        <v>19795.060000000001</v>
      </c>
      <c r="K219">
        <v>6491.86</v>
      </c>
    </row>
    <row r="220" spans="1:11" x14ac:dyDescent="0.3">
      <c r="A220" t="s">
        <v>257</v>
      </c>
      <c r="B220" s="1">
        <v>45746</v>
      </c>
      <c r="C220" t="s">
        <v>57</v>
      </c>
      <c r="D220" t="s">
        <v>13</v>
      </c>
      <c r="E220" t="s">
        <v>43</v>
      </c>
      <c r="F220" t="s">
        <v>23</v>
      </c>
      <c r="G220" t="s">
        <v>30</v>
      </c>
      <c r="H220">
        <v>2</v>
      </c>
      <c r="I220">
        <v>458.78</v>
      </c>
      <c r="J220">
        <v>917.56</v>
      </c>
      <c r="K220">
        <v>185.99</v>
      </c>
    </row>
    <row r="221" spans="1:11" x14ac:dyDescent="0.3">
      <c r="A221" t="s">
        <v>258</v>
      </c>
      <c r="B221" s="1">
        <v>45939</v>
      </c>
      <c r="C221" t="s">
        <v>50</v>
      </c>
      <c r="D221" t="s">
        <v>39</v>
      </c>
      <c r="E221" t="s">
        <v>22</v>
      </c>
      <c r="F221" t="s">
        <v>23</v>
      </c>
      <c r="G221" t="s">
        <v>16</v>
      </c>
      <c r="H221">
        <v>1</v>
      </c>
      <c r="I221">
        <v>336</v>
      </c>
      <c r="J221">
        <v>336</v>
      </c>
      <c r="K221">
        <v>113.92</v>
      </c>
    </row>
    <row r="222" spans="1:11" x14ac:dyDescent="0.3">
      <c r="A222" t="s">
        <v>259</v>
      </c>
      <c r="B222" s="1">
        <v>45772</v>
      </c>
      <c r="C222" t="s">
        <v>12</v>
      </c>
      <c r="D222" t="s">
        <v>13</v>
      </c>
      <c r="E222" t="s">
        <v>27</v>
      </c>
      <c r="F222" t="s">
        <v>15</v>
      </c>
      <c r="G222" t="s">
        <v>24</v>
      </c>
      <c r="H222">
        <v>5</v>
      </c>
      <c r="I222">
        <v>19051.439999999999</v>
      </c>
      <c r="J222">
        <v>95257.2</v>
      </c>
      <c r="K222">
        <v>30334.52</v>
      </c>
    </row>
    <row r="223" spans="1:11" x14ac:dyDescent="0.3">
      <c r="A223" t="s">
        <v>260</v>
      </c>
      <c r="B223" s="1">
        <v>45941</v>
      </c>
      <c r="C223" t="s">
        <v>29</v>
      </c>
      <c r="D223" t="s">
        <v>13</v>
      </c>
      <c r="E223" t="s">
        <v>33</v>
      </c>
      <c r="F223" t="s">
        <v>15</v>
      </c>
      <c r="G223" t="s">
        <v>30</v>
      </c>
      <c r="H223">
        <v>1</v>
      </c>
      <c r="I223">
        <v>12728.79</v>
      </c>
      <c r="J223">
        <v>12728.79</v>
      </c>
      <c r="K223">
        <v>3011.27</v>
      </c>
    </row>
    <row r="224" spans="1:11" x14ac:dyDescent="0.3">
      <c r="A224" t="s">
        <v>261</v>
      </c>
      <c r="B224" s="1">
        <v>45816</v>
      </c>
      <c r="C224" t="s">
        <v>62</v>
      </c>
      <c r="D224" t="s">
        <v>63</v>
      </c>
      <c r="E224" t="s">
        <v>27</v>
      </c>
      <c r="F224" t="s">
        <v>15</v>
      </c>
      <c r="G224" t="s">
        <v>51</v>
      </c>
      <c r="H224">
        <v>5</v>
      </c>
      <c r="I224">
        <v>125.25</v>
      </c>
      <c r="J224">
        <v>626.25</v>
      </c>
      <c r="K224">
        <v>152.38</v>
      </c>
    </row>
    <row r="225" spans="1:11" x14ac:dyDescent="0.3">
      <c r="A225" t="s">
        <v>262</v>
      </c>
      <c r="B225" s="1">
        <v>45820</v>
      </c>
      <c r="C225" t="s">
        <v>35</v>
      </c>
      <c r="D225" t="s">
        <v>13</v>
      </c>
      <c r="E225" t="s">
        <v>22</v>
      </c>
      <c r="F225" t="s">
        <v>15</v>
      </c>
      <c r="G225" t="s">
        <v>51</v>
      </c>
      <c r="H225">
        <v>1</v>
      </c>
      <c r="I225">
        <v>893.85</v>
      </c>
      <c r="J225">
        <v>893.85</v>
      </c>
      <c r="K225">
        <v>219.43</v>
      </c>
    </row>
    <row r="226" spans="1:11" x14ac:dyDescent="0.3">
      <c r="A226" t="s">
        <v>263</v>
      </c>
      <c r="B226" s="1">
        <v>45879</v>
      </c>
      <c r="C226" t="s">
        <v>50</v>
      </c>
      <c r="D226" t="s">
        <v>39</v>
      </c>
      <c r="E226" t="s">
        <v>22</v>
      </c>
      <c r="F226" t="s">
        <v>23</v>
      </c>
      <c r="G226" t="s">
        <v>51</v>
      </c>
      <c r="H226">
        <v>4</v>
      </c>
      <c r="I226">
        <v>318.88</v>
      </c>
      <c r="J226">
        <v>1275.52</v>
      </c>
      <c r="K226">
        <v>443.52</v>
      </c>
    </row>
    <row r="227" spans="1:11" x14ac:dyDescent="0.3">
      <c r="A227" t="s">
        <v>264</v>
      </c>
      <c r="B227" s="1">
        <v>45740</v>
      </c>
      <c r="C227" t="s">
        <v>117</v>
      </c>
      <c r="D227" t="s">
        <v>63</v>
      </c>
      <c r="E227" t="s">
        <v>33</v>
      </c>
      <c r="F227" t="s">
        <v>23</v>
      </c>
      <c r="G227" t="s">
        <v>30</v>
      </c>
      <c r="H227">
        <v>4</v>
      </c>
      <c r="I227">
        <v>75.61</v>
      </c>
      <c r="J227">
        <v>302.44</v>
      </c>
      <c r="K227">
        <v>40.42</v>
      </c>
    </row>
    <row r="228" spans="1:11" x14ac:dyDescent="0.3">
      <c r="A228" t="s">
        <v>265</v>
      </c>
      <c r="B228" s="1">
        <v>45786</v>
      </c>
      <c r="C228" t="s">
        <v>20</v>
      </c>
      <c r="D228" t="s">
        <v>21</v>
      </c>
      <c r="E228" t="s">
        <v>43</v>
      </c>
      <c r="F228" t="s">
        <v>15</v>
      </c>
      <c r="G228" t="s">
        <v>16</v>
      </c>
      <c r="H228">
        <v>2</v>
      </c>
      <c r="I228">
        <v>6566.09</v>
      </c>
      <c r="J228">
        <v>13132.18</v>
      </c>
      <c r="K228">
        <v>4562.8500000000004</v>
      </c>
    </row>
    <row r="229" spans="1:11" x14ac:dyDescent="0.3">
      <c r="A229" t="s">
        <v>266</v>
      </c>
      <c r="B229" s="1">
        <v>45986</v>
      </c>
      <c r="C229" t="s">
        <v>26</v>
      </c>
      <c r="D229" t="s">
        <v>13</v>
      </c>
      <c r="E229" t="s">
        <v>33</v>
      </c>
      <c r="F229" t="s">
        <v>23</v>
      </c>
      <c r="G229" t="s">
        <v>16</v>
      </c>
      <c r="H229">
        <v>2</v>
      </c>
      <c r="I229">
        <v>1829.03</v>
      </c>
      <c r="J229">
        <v>3658.06</v>
      </c>
      <c r="K229">
        <v>1227.23</v>
      </c>
    </row>
    <row r="230" spans="1:11" x14ac:dyDescent="0.3">
      <c r="A230" t="s">
        <v>267</v>
      </c>
      <c r="B230" s="1">
        <v>45679</v>
      </c>
      <c r="C230" t="s">
        <v>18</v>
      </c>
      <c r="D230" t="s">
        <v>13</v>
      </c>
      <c r="E230" t="s">
        <v>43</v>
      </c>
      <c r="F230" t="s">
        <v>15</v>
      </c>
      <c r="G230" t="s">
        <v>16</v>
      </c>
      <c r="H230">
        <v>1</v>
      </c>
      <c r="I230">
        <v>45767.79</v>
      </c>
      <c r="J230">
        <v>45767.79</v>
      </c>
      <c r="K230">
        <v>8216.8799999999992</v>
      </c>
    </row>
    <row r="231" spans="1:11" x14ac:dyDescent="0.3">
      <c r="A231" t="s">
        <v>268</v>
      </c>
      <c r="B231" s="1">
        <v>45871</v>
      </c>
      <c r="C231" t="s">
        <v>29</v>
      </c>
      <c r="D231" t="s">
        <v>13</v>
      </c>
      <c r="E231" t="s">
        <v>43</v>
      </c>
      <c r="F231" t="s">
        <v>23</v>
      </c>
      <c r="G231" t="s">
        <v>36</v>
      </c>
      <c r="H231">
        <v>2</v>
      </c>
      <c r="I231">
        <v>11995.29</v>
      </c>
      <c r="J231">
        <v>23990.58</v>
      </c>
      <c r="K231">
        <v>5204.45</v>
      </c>
    </row>
    <row r="232" spans="1:11" x14ac:dyDescent="0.3">
      <c r="A232" t="s">
        <v>269</v>
      </c>
      <c r="B232" s="1">
        <v>45783</v>
      </c>
      <c r="C232" t="s">
        <v>35</v>
      </c>
      <c r="D232" t="s">
        <v>13</v>
      </c>
      <c r="E232" t="s">
        <v>22</v>
      </c>
      <c r="F232" t="s">
        <v>23</v>
      </c>
      <c r="G232" t="s">
        <v>36</v>
      </c>
      <c r="H232">
        <v>1</v>
      </c>
      <c r="I232">
        <v>891.64</v>
      </c>
      <c r="J232">
        <v>891.64</v>
      </c>
      <c r="K232">
        <v>179.18</v>
      </c>
    </row>
    <row r="233" spans="1:11" x14ac:dyDescent="0.3">
      <c r="A233" t="s">
        <v>270</v>
      </c>
      <c r="B233" s="1">
        <v>45905</v>
      </c>
      <c r="C233" t="s">
        <v>38</v>
      </c>
      <c r="D233" t="s">
        <v>39</v>
      </c>
      <c r="E233" t="s">
        <v>43</v>
      </c>
      <c r="F233" t="s">
        <v>23</v>
      </c>
      <c r="G233" t="s">
        <v>36</v>
      </c>
      <c r="H233">
        <v>1</v>
      </c>
      <c r="I233">
        <v>1225.5999999999999</v>
      </c>
      <c r="J233">
        <v>1225.5999999999999</v>
      </c>
      <c r="K233">
        <v>366.12</v>
      </c>
    </row>
    <row r="234" spans="1:11" x14ac:dyDescent="0.3">
      <c r="A234" t="s">
        <v>271</v>
      </c>
      <c r="B234" s="1">
        <v>45724</v>
      </c>
      <c r="C234" t="s">
        <v>117</v>
      </c>
      <c r="D234" t="s">
        <v>63</v>
      </c>
      <c r="E234" t="s">
        <v>14</v>
      </c>
      <c r="F234" t="s">
        <v>23</v>
      </c>
      <c r="G234" t="s">
        <v>36</v>
      </c>
      <c r="H234">
        <v>2</v>
      </c>
      <c r="I234">
        <v>73.7</v>
      </c>
      <c r="J234">
        <v>147.4</v>
      </c>
      <c r="K234">
        <v>46.75</v>
      </c>
    </row>
    <row r="235" spans="1:11" x14ac:dyDescent="0.3">
      <c r="A235" t="s">
        <v>272</v>
      </c>
      <c r="B235" s="1">
        <v>45784</v>
      </c>
      <c r="C235" t="s">
        <v>26</v>
      </c>
      <c r="D235" t="s">
        <v>13</v>
      </c>
      <c r="E235" t="s">
        <v>33</v>
      </c>
      <c r="F235" t="s">
        <v>23</v>
      </c>
      <c r="G235" t="s">
        <v>51</v>
      </c>
      <c r="H235">
        <v>1</v>
      </c>
      <c r="I235">
        <v>1724.48</v>
      </c>
      <c r="J235">
        <v>1724.48</v>
      </c>
      <c r="K235">
        <v>483.06</v>
      </c>
    </row>
    <row r="236" spans="1:11" x14ac:dyDescent="0.3">
      <c r="A236" t="s">
        <v>273</v>
      </c>
      <c r="B236" s="1">
        <v>45739</v>
      </c>
      <c r="C236" t="s">
        <v>117</v>
      </c>
      <c r="D236" t="s">
        <v>63</v>
      </c>
      <c r="E236" t="s">
        <v>22</v>
      </c>
      <c r="F236" t="s">
        <v>23</v>
      </c>
      <c r="G236" t="s">
        <v>16</v>
      </c>
      <c r="H236">
        <v>4</v>
      </c>
      <c r="I236">
        <v>83.54</v>
      </c>
      <c r="J236">
        <v>334.16</v>
      </c>
      <c r="K236">
        <v>110.49</v>
      </c>
    </row>
    <row r="237" spans="1:11" x14ac:dyDescent="0.3">
      <c r="A237" t="s">
        <v>274</v>
      </c>
      <c r="B237" s="1">
        <v>45897</v>
      </c>
      <c r="C237" t="s">
        <v>38</v>
      </c>
      <c r="D237" t="s">
        <v>39</v>
      </c>
      <c r="E237" t="s">
        <v>27</v>
      </c>
      <c r="F237" t="s">
        <v>23</v>
      </c>
      <c r="G237" t="s">
        <v>51</v>
      </c>
      <c r="H237">
        <v>4</v>
      </c>
      <c r="I237">
        <v>1199.3699999999999</v>
      </c>
      <c r="J237">
        <v>4797.4799999999996</v>
      </c>
      <c r="K237">
        <v>1710.72</v>
      </c>
    </row>
    <row r="238" spans="1:11" x14ac:dyDescent="0.3">
      <c r="A238" t="s">
        <v>275</v>
      </c>
      <c r="B238" s="1">
        <v>45768</v>
      </c>
      <c r="C238" t="s">
        <v>29</v>
      </c>
      <c r="D238" t="s">
        <v>13</v>
      </c>
      <c r="E238" t="s">
        <v>27</v>
      </c>
      <c r="F238" t="s">
        <v>23</v>
      </c>
      <c r="G238" t="s">
        <v>16</v>
      </c>
      <c r="H238">
        <v>1</v>
      </c>
      <c r="I238">
        <v>10921.3</v>
      </c>
      <c r="J238">
        <v>10921.3</v>
      </c>
      <c r="K238">
        <v>2744.82</v>
      </c>
    </row>
    <row r="239" spans="1:11" x14ac:dyDescent="0.3">
      <c r="A239" t="s">
        <v>276</v>
      </c>
      <c r="B239" s="1">
        <v>45662</v>
      </c>
      <c r="C239" t="s">
        <v>12</v>
      </c>
      <c r="D239" t="s">
        <v>13</v>
      </c>
      <c r="E239" t="s">
        <v>27</v>
      </c>
      <c r="F239" t="s">
        <v>23</v>
      </c>
      <c r="G239" t="s">
        <v>30</v>
      </c>
      <c r="H239">
        <v>2</v>
      </c>
      <c r="I239">
        <v>19376.84</v>
      </c>
      <c r="J239">
        <v>38753.68</v>
      </c>
      <c r="K239">
        <v>7396.06</v>
      </c>
    </row>
    <row r="240" spans="1:11" x14ac:dyDescent="0.3">
      <c r="A240" t="s">
        <v>277</v>
      </c>
      <c r="B240" s="1">
        <v>45863</v>
      </c>
      <c r="C240" t="s">
        <v>18</v>
      </c>
      <c r="D240" t="s">
        <v>13</v>
      </c>
      <c r="E240" t="s">
        <v>14</v>
      </c>
      <c r="F240" t="s">
        <v>23</v>
      </c>
      <c r="G240" t="s">
        <v>16</v>
      </c>
      <c r="H240">
        <v>2</v>
      </c>
      <c r="I240">
        <v>39435.1</v>
      </c>
      <c r="J240">
        <v>78870.2</v>
      </c>
      <c r="K240">
        <v>18626.150000000001</v>
      </c>
    </row>
    <row r="241" spans="1:11" x14ac:dyDescent="0.3">
      <c r="A241" t="s">
        <v>278</v>
      </c>
      <c r="B241" s="1">
        <v>45888</v>
      </c>
      <c r="C241" t="s">
        <v>50</v>
      </c>
      <c r="D241" t="s">
        <v>39</v>
      </c>
      <c r="E241" t="s">
        <v>14</v>
      </c>
      <c r="F241" t="s">
        <v>15</v>
      </c>
      <c r="G241" t="s">
        <v>30</v>
      </c>
      <c r="H241">
        <v>1</v>
      </c>
      <c r="I241">
        <v>384.24</v>
      </c>
      <c r="J241">
        <v>384.24</v>
      </c>
      <c r="K241">
        <v>78.040000000000006</v>
      </c>
    </row>
    <row r="242" spans="1:11" x14ac:dyDescent="0.3">
      <c r="A242" t="s">
        <v>279</v>
      </c>
      <c r="B242" s="1">
        <v>45859</v>
      </c>
      <c r="C242" t="s">
        <v>117</v>
      </c>
      <c r="D242" t="s">
        <v>63</v>
      </c>
      <c r="E242" t="s">
        <v>22</v>
      </c>
      <c r="F242" t="s">
        <v>15</v>
      </c>
      <c r="G242" t="s">
        <v>16</v>
      </c>
      <c r="H242">
        <v>3</v>
      </c>
      <c r="I242">
        <v>77.430000000000007</v>
      </c>
      <c r="J242">
        <v>232.29</v>
      </c>
      <c r="K242">
        <v>31.56</v>
      </c>
    </row>
    <row r="243" spans="1:11" x14ac:dyDescent="0.3">
      <c r="A243" t="s">
        <v>280</v>
      </c>
      <c r="B243" s="1">
        <v>45918</v>
      </c>
      <c r="C243" t="s">
        <v>62</v>
      </c>
      <c r="D243" t="s">
        <v>63</v>
      </c>
      <c r="E243" t="s">
        <v>43</v>
      </c>
      <c r="F243" t="s">
        <v>23</v>
      </c>
      <c r="G243" t="s">
        <v>16</v>
      </c>
      <c r="H243">
        <v>2</v>
      </c>
      <c r="I243">
        <v>109.09</v>
      </c>
      <c r="J243">
        <v>218.18</v>
      </c>
      <c r="K243">
        <v>75.13</v>
      </c>
    </row>
    <row r="244" spans="1:11" x14ac:dyDescent="0.3">
      <c r="A244" t="s">
        <v>281</v>
      </c>
      <c r="B244" s="1">
        <v>45891</v>
      </c>
      <c r="C244" t="s">
        <v>26</v>
      </c>
      <c r="D244" t="s">
        <v>13</v>
      </c>
      <c r="E244" t="s">
        <v>33</v>
      </c>
      <c r="F244" t="s">
        <v>23</v>
      </c>
      <c r="G244" t="s">
        <v>51</v>
      </c>
      <c r="H244">
        <v>2</v>
      </c>
      <c r="I244">
        <v>1805.58</v>
      </c>
      <c r="J244">
        <v>3611.16</v>
      </c>
      <c r="K244">
        <v>1064.31</v>
      </c>
    </row>
    <row r="245" spans="1:11" x14ac:dyDescent="0.3">
      <c r="A245" t="s">
        <v>282</v>
      </c>
      <c r="B245" s="1">
        <v>45859</v>
      </c>
      <c r="C245" t="s">
        <v>29</v>
      </c>
      <c r="D245" t="s">
        <v>13</v>
      </c>
      <c r="E245" t="s">
        <v>33</v>
      </c>
      <c r="F245" t="s">
        <v>23</v>
      </c>
      <c r="G245" t="s">
        <v>16</v>
      </c>
      <c r="H245">
        <v>3</v>
      </c>
      <c r="I245">
        <v>11518.16</v>
      </c>
      <c r="J245">
        <v>34554.480000000003</v>
      </c>
      <c r="K245">
        <v>10108.67</v>
      </c>
    </row>
    <row r="246" spans="1:11" x14ac:dyDescent="0.3">
      <c r="A246" t="s">
        <v>283</v>
      </c>
      <c r="B246" s="1">
        <v>45811</v>
      </c>
      <c r="C246" t="s">
        <v>38</v>
      </c>
      <c r="D246" t="s">
        <v>39</v>
      </c>
      <c r="E246" t="s">
        <v>27</v>
      </c>
      <c r="F246" t="s">
        <v>23</v>
      </c>
      <c r="G246" t="s">
        <v>30</v>
      </c>
      <c r="H246">
        <v>3</v>
      </c>
      <c r="I246">
        <v>1168.4100000000001</v>
      </c>
      <c r="J246">
        <v>3505.23</v>
      </c>
      <c r="K246">
        <v>717.91</v>
      </c>
    </row>
    <row r="247" spans="1:11" x14ac:dyDescent="0.3">
      <c r="A247" t="s">
        <v>284</v>
      </c>
      <c r="B247" s="1">
        <v>45963</v>
      </c>
      <c r="C247" t="s">
        <v>38</v>
      </c>
      <c r="D247" t="s">
        <v>39</v>
      </c>
      <c r="E247" t="s">
        <v>33</v>
      </c>
      <c r="F247" t="s">
        <v>15</v>
      </c>
      <c r="G247" t="s">
        <v>30</v>
      </c>
      <c r="H247">
        <v>1</v>
      </c>
      <c r="I247">
        <v>1237.3399999999999</v>
      </c>
      <c r="J247">
        <v>1237.3399999999999</v>
      </c>
      <c r="K247">
        <v>157.47</v>
      </c>
    </row>
    <row r="248" spans="1:11" x14ac:dyDescent="0.3">
      <c r="A248" t="s">
        <v>285</v>
      </c>
      <c r="B248" s="1">
        <v>45956</v>
      </c>
      <c r="C248" t="s">
        <v>38</v>
      </c>
      <c r="D248" t="s">
        <v>39</v>
      </c>
      <c r="E248" t="s">
        <v>27</v>
      </c>
      <c r="F248" t="s">
        <v>15</v>
      </c>
      <c r="G248" t="s">
        <v>51</v>
      </c>
      <c r="H248">
        <v>1</v>
      </c>
      <c r="I248">
        <v>1230.97</v>
      </c>
      <c r="J248">
        <v>1230.97</v>
      </c>
      <c r="K248">
        <v>269.42</v>
      </c>
    </row>
    <row r="249" spans="1:11" x14ac:dyDescent="0.3">
      <c r="A249" t="s">
        <v>286</v>
      </c>
      <c r="B249" s="1">
        <v>45674</v>
      </c>
      <c r="C249" t="s">
        <v>29</v>
      </c>
      <c r="D249" t="s">
        <v>13</v>
      </c>
      <c r="E249" t="s">
        <v>43</v>
      </c>
      <c r="F249" t="s">
        <v>23</v>
      </c>
      <c r="G249" t="s">
        <v>51</v>
      </c>
      <c r="H249">
        <v>4</v>
      </c>
      <c r="I249">
        <v>11063.75</v>
      </c>
      <c r="J249">
        <v>44255</v>
      </c>
      <c r="K249">
        <v>16599</v>
      </c>
    </row>
    <row r="250" spans="1:11" x14ac:dyDescent="0.3">
      <c r="A250" t="s">
        <v>287</v>
      </c>
      <c r="B250" s="1">
        <v>45869</v>
      </c>
      <c r="C250" t="s">
        <v>57</v>
      </c>
      <c r="D250" t="s">
        <v>13</v>
      </c>
      <c r="E250" t="s">
        <v>27</v>
      </c>
      <c r="F250" t="s">
        <v>15</v>
      </c>
      <c r="G250" t="s">
        <v>51</v>
      </c>
      <c r="H250">
        <v>1</v>
      </c>
      <c r="I250">
        <v>500.18</v>
      </c>
      <c r="J250">
        <v>500.18</v>
      </c>
      <c r="K250">
        <v>110.55</v>
      </c>
    </row>
    <row r="251" spans="1:11" x14ac:dyDescent="0.3">
      <c r="A251" t="s">
        <v>288</v>
      </c>
      <c r="B251" s="1">
        <v>45923</v>
      </c>
      <c r="C251" t="s">
        <v>20</v>
      </c>
      <c r="D251" t="s">
        <v>21</v>
      </c>
      <c r="E251" t="s">
        <v>27</v>
      </c>
      <c r="F251" t="s">
        <v>23</v>
      </c>
      <c r="G251" t="s">
        <v>51</v>
      </c>
      <c r="H251">
        <v>2</v>
      </c>
      <c r="I251">
        <v>7147.56</v>
      </c>
      <c r="J251">
        <v>14295.12</v>
      </c>
      <c r="K251">
        <v>3654.17</v>
      </c>
    </row>
    <row r="252" spans="1:11" x14ac:dyDescent="0.3">
      <c r="A252" t="s">
        <v>289</v>
      </c>
      <c r="B252" s="1">
        <v>45893</v>
      </c>
      <c r="C252" t="s">
        <v>50</v>
      </c>
      <c r="D252" t="s">
        <v>39</v>
      </c>
      <c r="E252" t="s">
        <v>43</v>
      </c>
      <c r="F252" t="s">
        <v>23</v>
      </c>
      <c r="G252" t="s">
        <v>51</v>
      </c>
      <c r="H252">
        <v>1</v>
      </c>
      <c r="I252">
        <v>339.8</v>
      </c>
      <c r="J252">
        <v>339.8</v>
      </c>
      <c r="K252">
        <v>60.92</v>
      </c>
    </row>
    <row r="253" spans="1:11" x14ac:dyDescent="0.3">
      <c r="A253" t="s">
        <v>290</v>
      </c>
      <c r="B253" s="1">
        <v>45784</v>
      </c>
      <c r="C253" t="s">
        <v>32</v>
      </c>
      <c r="D253" t="s">
        <v>21</v>
      </c>
      <c r="E253" t="s">
        <v>43</v>
      </c>
      <c r="F253" t="s">
        <v>23</v>
      </c>
      <c r="G253" t="s">
        <v>51</v>
      </c>
      <c r="H253">
        <v>2</v>
      </c>
      <c r="I253">
        <v>8504.76</v>
      </c>
      <c r="J253">
        <v>17009.52</v>
      </c>
      <c r="K253">
        <v>2160.94</v>
      </c>
    </row>
    <row r="254" spans="1:11" x14ac:dyDescent="0.3">
      <c r="A254" t="s">
        <v>291</v>
      </c>
      <c r="B254" s="1">
        <v>46011</v>
      </c>
      <c r="C254" t="s">
        <v>57</v>
      </c>
      <c r="D254" t="s">
        <v>13</v>
      </c>
      <c r="E254" t="s">
        <v>43</v>
      </c>
      <c r="F254" t="s">
        <v>23</v>
      </c>
      <c r="G254" t="s">
        <v>30</v>
      </c>
      <c r="H254">
        <v>2</v>
      </c>
      <c r="I254">
        <v>497.98</v>
      </c>
      <c r="J254">
        <v>995.96</v>
      </c>
      <c r="K254">
        <v>233.33</v>
      </c>
    </row>
    <row r="255" spans="1:11" x14ac:dyDescent="0.3">
      <c r="A255" t="s">
        <v>292</v>
      </c>
      <c r="B255" s="1">
        <v>45951</v>
      </c>
      <c r="C255" t="s">
        <v>35</v>
      </c>
      <c r="D255" t="s">
        <v>13</v>
      </c>
      <c r="E255" t="s">
        <v>43</v>
      </c>
      <c r="F255" t="s">
        <v>15</v>
      </c>
      <c r="G255" t="s">
        <v>24</v>
      </c>
      <c r="H255">
        <v>2</v>
      </c>
      <c r="I255">
        <v>971.24</v>
      </c>
      <c r="J255">
        <v>1942.48</v>
      </c>
      <c r="K255">
        <v>538.89</v>
      </c>
    </row>
    <row r="256" spans="1:11" x14ac:dyDescent="0.3">
      <c r="A256" t="s">
        <v>293</v>
      </c>
      <c r="B256" s="1">
        <v>45679</v>
      </c>
      <c r="C256" t="s">
        <v>32</v>
      </c>
      <c r="D256" t="s">
        <v>21</v>
      </c>
      <c r="E256" t="s">
        <v>43</v>
      </c>
      <c r="F256" t="s">
        <v>23</v>
      </c>
      <c r="G256" t="s">
        <v>51</v>
      </c>
      <c r="H256">
        <v>5</v>
      </c>
      <c r="I256">
        <v>8242.25</v>
      </c>
      <c r="J256">
        <v>41211.25</v>
      </c>
      <c r="K256">
        <v>5759.58</v>
      </c>
    </row>
    <row r="257" spans="1:11" x14ac:dyDescent="0.3">
      <c r="A257" t="s">
        <v>294</v>
      </c>
      <c r="B257" s="1">
        <v>45761</v>
      </c>
      <c r="C257" t="s">
        <v>50</v>
      </c>
      <c r="D257" t="s">
        <v>39</v>
      </c>
      <c r="E257" t="s">
        <v>14</v>
      </c>
      <c r="F257" t="s">
        <v>15</v>
      </c>
      <c r="G257" t="s">
        <v>51</v>
      </c>
      <c r="H257">
        <v>1</v>
      </c>
      <c r="I257">
        <v>354.34</v>
      </c>
      <c r="J257">
        <v>354.34</v>
      </c>
      <c r="K257">
        <v>109.63</v>
      </c>
    </row>
    <row r="258" spans="1:11" x14ac:dyDescent="0.3">
      <c r="A258" t="s">
        <v>295</v>
      </c>
      <c r="B258" s="1">
        <v>45683</v>
      </c>
      <c r="C258" t="s">
        <v>35</v>
      </c>
      <c r="D258" t="s">
        <v>13</v>
      </c>
      <c r="E258" t="s">
        <v>14</v>
      </c>
      <c r="F258" t="s">
        <v>23</v>
      </c>
      <c r="G258" t="s">
        <v>24</v>
      </c>
      <c r="H258">
        <v>4</v>
      </c>
      <c r="I258">
        <v>850.62</v>
      </c>
      <c r="J258">
        <v>3402.48</v>
      </c>
      <c r="K258">
        <v>1086.96</v>
      </c>
    </row>
    <row r="259" spans="1:11" x14ac:dyDescent="0.3">
      <c r="A259" t="s">
        <v>296</v>
      </c>
      <c r="B259" s="1">
        <v>45899</v>
      </c>
      <c r="C259" t="s">
        <v>12</v>
      </c>
      <c r="D259" t="s">
        <v>13</v>
      </c>
      <c r="E259" t="s">
        <v>22</v>
      </c>
      <c r="F259" t="s">
        <v>23</v>
      </c>
      <c r="G259" t="s">
        <v>36</v>
      </c>
      <c r="H259">
        <v>2</v>
      </c>
      <c r="I259">
        <v>16694.88</v>
      </c>
      <c r="J259">
        <v>33389.760000000002</v>
      </c>
      <c r="K259">
        <v>4314.8</v>
      </c>
    </row>
    <row r="260" spans="1:11" x14ac:dyDescent="0.3">
      <c r="A260" t="s">
        <v>297</v>
      </c>
      <c r="B260" s="1">
        <v>45902</v>
      </c>
      <c r="C260" t="s">
        <v>35</v>
      </c>
      <c r="D260" t="s">
        <v>13</v>
      </c>
      <c r="E260" t="s">
        <v>14</v>
      </c>
      <c r="F260" t="s">
        <v>15</v>
      </c>
      <c r="G260" t="s">
        <v>16</v>
      </c>
      <c r="H260">
        <v>1</v>
      </c>
      <c r="I260">
        <v>983.5</v>
      </c>
      <c r="J260">
        <v>983.5</v>
      </c>
      <c r="K260">
        <v>291.60000000000002</v>
      </c>
    </row>
    <row r="261" spans="1:11" x14ac:dyDescent="0.3">
      <c r="A261" t="s">
        <v>298</v>
      </c>
      <c r="B261" s="1">
        <v>45776</v>
      </c>
      <c r="C261" t="s">
        <v>50</v>
      </c>
      <c r="D261" t="s">
        <v>39</v>
      </c>
      <c r="E261" t="s">
        <v>22</v>
      </c>
      <c r="F261" t="s">
        <v>23</v>
      </c>
      <c r="G261" t="s">
        <v>51</v>
      </c>
      <c r="H261">
        <v>3</v>
      </c>
      <c r="I261">
        <v>374.52</v>
      </c>
      <c r="J261">
        <v>1123.56</v>
      </c>
      <c r="K261">
        <v>416.06</v>
      </c>
    </row>
    <row r="262" spans="1:11" x14ac:dyDescent="0.3">
      <c r="A262" t="s">
        <v>299</v>
      </c>
      <c r="B262" s="1">
        <v>45676</v>
      </c>
      <c r="C262" t="s">
        <v>62</v>
      </c>
      <c r="D262" t="s">
        <v>63</v>
      </c>
      <c r="E262" t="s">
        <v>43</v>
      </c>
      <c r="F262" t="s">
        <v>15</v>
      </c>
      <c r="G262" t="s">
        <v>30</v>
      </c>
      <c r="H262">
        <v>3</v>
      </c>
      <c r="I262">
        <v>112.47</v>
      </c>
      <c r="J262">
        <v>337.41</v>
      </c>
      <c r="K262">
        <v>62.51</v>
      </c>
    </row>
    <row r="263" spans="1:11" x14ac:dyDescent="0.3">
      <c r="A263" t="s">
        <v>300</v>
      </c>
      <c r="B263" s="1">
        <v>45810</v>
      </c>
      <c r="C263" t="s">
        <v>29</v>
      </c>
      <c r="D263" t="s">
        <v>13</v>
      </c>
      <c r="E263" t="s">
        <v>27</v>
      </c>
      <c r="F263" t="s">
        <v>23</v>
      </c>
      <c r="G263" t="s">
        <v>51</v>
      </c>
      <c r="H263">
        <v>2</v>
      </c>
      <c r="I263">
        <v>13028.29</v>
      </c>
      <c r="J263">
        <v>26056.58</v>
      </c>
      <c r="K263">
        <v>7631.69</v>
      </c>
    </row>
    <row r="264" spans="1:11" x14ac:dyDescent="0.3">
      <c r="A264" t="s">
        <v>301</v>
      </c>
      <c r="B264" s="1">
        <v>45916</v>
      </c>
      <c r="C264" t="s">
        <v>38</v>
      </c>
      <c r="D264" t="s">
        <v>39</v>
      </c>
      <c r="E264" t="s">
        <v>27</v>
      </c>
      <c r="F264" t="s">
        <v>23</v>
      </c>
      <c r="G264" t="s">
        <v>51</v>
      </c>
      <c r="H264">
        <v>1</v>
      </c>
      <c r="I264">
        <v>1274.1199999999999</v>
      </c>
      <c r="J264">
        <v>1274.1199999999999</v>
      </c>
      <c r="K264">
        <v>374.62</v>
      </c>
    </row>
    <row r="265" spans="1:11" x14ac:dyDescent="0.3">
      <c r="A265" t="s">
        <v>302</v>
      </c>
      <c r="B265" s="1">
        <v>45665</v>
      </c>
      <c r="C265" t="s">
        <v>57</v>
      </c>
      <c r="D265" t="s">
        <v>13</v>
      </c>
      <c r="E265" t="s">
        <v>22</v>
      </c>
      <c r="F265" t="s">
        <v>15</v>
      </c>
      <c r="G265" t="s">
        <v>16</v>
      </c>
      <c r="H265">
        <v>1</v>
      </c>
      <c r="I265">
        <v>479.5</v>
      </c>
      <c r="J265">
        <v>479.5</v>
      </c>
      <c r="K265">
        <v>98.13</v>
      </c>
    </row>
    <row r="266" spans="1:11" x14ac:dyDescent="0.3">
      <c r="A266" t="s">
        <v>303</v>
      </c>
      <c r="B266" s="1">
        <v>45985</v>
      </c>
      <c r="C266" t="s">
        <v>62</v>
      </c>
      <c r="D266" t="s">
        <v>63</v>
      </c>
      <c r="E266" t="s">
        <v>14</v>
      </c>
      <c r="F266" t="s">
        <v>15</v>
      </c>
      <c r="G266" t="s">
        <v>51</v>
      </c>
      <c r="H266">
        <v>3</v>
      </c>
      <c r="I266">
        <v>120.37</v>
      </c>
      <c r="J266">
        <v>361.11</v>
      </c>
      <c r="K266">
        <v>129.08000000000001</v>
      </c>
    </row>
    <row r="267" spans="1:11" x14ac:dyDescent="0.3">
      <c r="A267" t="s">
        <v>304</v>
      </c>
      <c r="B267" s="1">
        <v>45902</v>
      </c>
      <c r="C267" t="s">
        <v>117</v>
      </c>
      <c r="D267" t="s">
        <v>63</v>
      </c>
      <c r="E267" t="s">
        <v>27</v>
      </c>
      <c r="F267" t="s">
        <v>23</v>
      </c>
      <c r="G267" t="s">
        <v>24</v>
      </c>
      <c r="H267">
        <v>4</v>
      </c>
      <c r="I267">
        <v>72.11</v>
      </c>
      <c r="J267">
        <v>288.44</v>
      </c>
      <c r="K267">
        <v>80.84</v>
      </c>
    </row>
    <row r="268" spans="1:11" x14ac:dyDescent="0.3">
      <c r="A268" t="s">
        <v>305</v>
      </c>
      <c r="B268" s="1">
        <v>45812</v>
      </c>
      <c r="C268" t="s">
        <v>29</v>
      </c>
      <c r="D268" t="s">
        <v>13</v>
      </c>
      <c r="E268" t="s">
        <v>22</v>
      </c>
      <c r="F268" t="s">
        <v>15</v>
      </c>
      <c r="G268" t="s">
        <v>30</v>
      </c>
      <c r="H268">
        <v>3</v>
      </c>
      <c r="I268">
        <v>10827.45</v>
      </c>
      <c r="J268">
        <v>32482.35</v>
      </c>
      <c r="K268">
        <v>6822.67</v>
      </c>
    </row>
    <row r="269" spans="1:11" x14ac:dyDescent="0.3">
      <c r="A269" t="s">
        <v>306</v>
      </c>
      <c r="B269" s="1">
        <v>45896</v>
      </c>
      <c r="C269" t="s">
        <v>32</v>
      </c>
      <c r="D269" t="s">
        <v>21</v>
      </c>
      <c r="E269" t="s">
        <v>43</v>
      </c>
      <c r="F269" t="s">
        <v>15</v>
      </c>
      <c r="G269" t="s">
        <v>24</v>
      </c>
      <c r="H269">
        <v>1</v>
      </c>
      <c r="I269">
        <v>9334.93</v>
      </c>
      <c r="J269">
        <v>9334.93</v>
      </c>
      <c r="K269">
        <v>1306.82</v>
      </c>
    </row>
    <row r="270" spans="1:11" x14ac:dyDescent="0.3">
      <c r="A270" t="s">
        <v>307</v>
      </c>
      <c r="B270" s="1">
        <v>45846</v>
      </c>
      <c r="C270" t="s">
        <v>29</v>
      </c>
      <c r="D270" t="s">
        <v>13</v>
      </c>
      <c r="E270" t="s">
        <v>27</v>
      </c>
      <c r="F270" t="s">
        <v>23</v>
      </c>
      <c r="G270" t="s">
        <v>36</v>
      </c>
      <c r="H270">
        <v>1</v>
      </c>
      <c r="I270">
        <v>13097.67</v>
      </c>
      <c r="J270">
        <v>13097.67</v>
      </c>
      <c r="K270">
        <v>3348.72</v>
      </c>
    </row>
    <row r="271" spans="1:11" x14ac:dyDescent="0.3">
      <c r="A271" t="s">
        <v>308</v>
      </c>
      <c r="B271" s="1">
        <v>46017</v>
      </c>
      <c r="C271" t="s">
        <v>50</v>
      </c>
      <c r="D271" t="s">
        <v>39</v>
      </c>
      <c r="E271" t="s">
        <v>22</v>
      </c>
      <c r="F271" t="s">
        <v>15</v>
      </c>
      <c r="G271" t="s">
        <v>16</v>
      </c>
      <c r="H271">
        <v>4</v>
      </c>
      <c r="I271">
        <v>368.01</v>
      </c>
      <c r="J271">
        <v>1472.04</v>
      </c>
      <c r="K271">
        <v>252.43</v>
      </c>
    </row>
    <row r="272" spans="1:11" x14ac:dyDescent="0.3">
      <c r="A272" t="s">
        <v>309</v>
      </c>
      <c r="B272" s="1">
        <v>45699</v>
      </c>
      <c r="C272" t="s">
        <v>50</v>
      </c>
      <c r="D272" t="s">
        <v>39</v>
      </c>
      <c r="E272" t="s">
        <v>33</v>
      </c>
      <c r="F272" t="s">
        <v>15</v>
      </c>
      <c r="G272" t="s">
        <v>30</v>
      </c>
      <c r="H272">
        <v>2</v>
      </c>
      <c r="I272">
        <v>364.26</v>
      </c>
      <c r="J272">
        <v>728.52</v>
      </c>
      <c r="K272">
        <v>262.04000000000002</v>
      </c>
    </row>
    <row r="273" spans="1:11" x14ac:dyDescent="0.3">
      <c r="A273" t="s">
        <v>310</v>
      </c>
      <c r="B273" s="1">
        <v>45938</v>
      </c>
      <c r="C273" t="s">
        <v>50</v>
      </c>
      <c r="D273" t="s">
        <v>39</v>
      </c>
      <c r="E273" t="s">
        <v>33</v>
      </c>
      <c r="F273" t="s">
        <v>23</v>
      </c>
      <c r="G273" t="s">
        <v>30</v>
      </c>
      <c r="H273">
        <v>1</v>
      </c>
      <c r="I273">
        <v>352.57</v>
      </c>
      <c r="J273">
        <v>352.57</v>
      </c>
      <c r="K273">
        <v>118.89</v>
      </c>
    </row>
    <row r="274" spans="1:11" x14ac:dyDescent="0.3">
      <c r="A274" t="s">
        <v>311</v>
      </c>
      <c r="B274" s="1">
        <v>46006</v>
      </c>
      <c r="C274" t="s">
        <v>20</v>
      </c>
      <c r="D274" t="s">
        <v>21</v>
      </c>
      <c r="E274" t="s">
        <v>27</v>
      </c>
      <c r="F274" t="s">
        <v>15</v>
      </c>
      <c r="G274" t="s">
        <v>36</v>
      </c>
      <c r="H274">
        <v>3</v>
      </c>
      <c r="I274">
        <v>6485.48</v>
      </c>
      <c r="J274">
        <v>19456.439999999999</v>
      </c>
      <c r="K274">
        <v>2846.26</v>
      </c>
    </row>
    <row r="275" spans="1:11" x14ac:dyDescent="0.3">
      <c r="A275" t="s">
        <v>312</v>
      </c>
      <c r="B275" s="1">
        <v>45725</v>
      </c>
      <c r="C275" t="s">
        <v>50</v>
      </c>
      <c r="D275" t="s">
        <v>39</v>
      </c>
      <c r="E275" t="s">
        <v>43</v>
      </c>
      <c r="F275" t="s">
        <v>15</v>
      </c>
      <c r="G275" t="s">
        <v>36</v>
      </c>
      <c r="H275">
        <v>1</v>
      </c>
      <c r="I275">
        <v>354.47</v>
      </c>
      <c r="J275">
        <v>354.47</v>
      </c>
      <c r="K275">
        <v>83.2</v>
      </c>
    </row>
    <row r="276" spans="1:11" x14ac:dyDescent="0.3">
      <c r="A276" t="s">
        <v>313</v>
      </c>
      <c r="B276" s="1">
        <v>45788</v>
      </c>
      <c r="C276" t="s">
        <v>18</v>
      </c>
      <c r="D276" t="s">
        <v>13</v>
      </c>
      <c r="E276" t="s">
        <v>43</v>
      </c>
      <c r="F276" t="s">
        <v>15</v>
      </c>
      <c r="G276" t="s">
        <v>16</v>
      </c>
      <c r="H276">
        <v>3</v>
      </c>
      <c r="I276">
        <v>42657.81</v>
      </c>
      <c r="J276">
        <v>127973.43</v>
      </c>
      <c r="K276">
        <v>47122.97</v>
      </c>
    </row>
    <row r="277" spans="1:11" x14ac:dyDescent="0.3">
      <c r="A277" t="s">
        <v>314</v>
      </c>
      <c r="B277" s="1">
        <v>45688</v>
      </c>
      <c r="C277" t="s">
        <v>12</v>
      </c>
      <c r="D277" t="s">
        <v>13</v>
      </c>
      <c r="E277" t="s">
        <v>22</v>
      </c>
      <c r="F277" t="s">
        <v>15</v>
      </c>
      <c r="G277" t="s">
        <v>36</v>
      </c>
      <c r="H277">
        <v>5</v>
      </c>
      <c r="I277">
        <v>17899.46</v>
      </c>
      <c r="J277">
        <v>89497.3</v>
      </c>
      <c r="K277">
        <v>27328.57</v>
      </c>
    </row>
    <row r="278" spans="1:11" x14ac:dyDescent="0.3">
      <c r="A278" t="s">
        <v>315</v>
      </c>
      <c r="B278" s="1">
        <v>45849</v>
      </c>
      <c r="C278" t="s">
        <v>62</v>
      </c>
      <c r="D278" t="s">
        <v>63</v>
      </c>
      <c r="E278" t="s">
        <v>14</v>
      </c>
      <c r="F278" t="s">
        <v>15</v>
      </c>
      <c r="G278" t="s">
        <v>24</v>
      </c>
      <c r="H278">
        <v>2</v>
      </c>
      <c r="I278">
        <v>130.01</v>
      </c>
      <c r="J278">
        <v>260.02</v>
      </c>
      <c r="K278">
        <v>73.290000000000006</v>
      </c>
    </row>
    <row r="279" spans="1:11" x14ac:dyDescent="0.3">
      <c r="A279" t="s">
        <v>316</v>
      </c>
      <c r="B279" s="1">
        <v>45718</v>
      </c>
      <c r="C279" t="s">
        <v>26</v>
      </c>
      <c r="D279" t="s">
        <v>13</v>
      </c>
      <c r="E279" t="s">
        <v>22</v>
      </c>
      <c r="F279" t="s">
        <v>15</v>
      </c>
      <c r="G279" t="s">
        <v>30</v>
      </c>
      <c r="H279">
        <v>5</v>
      </c>
      <c r="I279">
        <v>1761.5</v>
      </c>
      <c r="J279">
        <v>8807.5</v>
      </c>
      <c r="K279">
        <v>3055.23</v>
      </c>
    </row>
    <row r="280" spans="1:11" x14ac:dyDescent="0.3">
      <c r="A280" t="s">
        <v>317</v>
      </c>
      <c r="B280" s="1">
        <v>45810</v>
      </c>
      <c r="C280" t="s">
        <v>38</v>
      </c>
      <c r="D280" t="s">
        <v>39</v>
      </c>
      <c r="E280" t="s">
        <v>22</v>
      </c>
      <c r="F280" t="s">
        <v>15</v>
      </c>
      <c r="G280" t="s">
        <v>36</v>
      </c>
      <c r="H280">
        <v>2</v>
      </c>
      <c r="I280">
        <v>1210.67</v>
      </c>
      <c r="J280">
        <v>2421.34</v>
      </c>
      <c r="K280">
        <v>585.23</v>
      </c>
    </row>
    <row r="281" spans="1:11" x14ac:dyDescent="0.3">
      <c r="A281" t="s">
        <v>318</v>
      </c>
      <c r="B281" s="1">
        <v>45835</v>
      </c>
      <c r="C281" t="s">
        <v>26</v>
      </c>
      <c r="D281" t="s">
        <v>13</v>
      </c>
      <c r="E281" t="s">
        <v>14</v>
      </c>
      <c r="F281" t="s">
        <v>15</v>
      </c>
      <c r="G281" t="s">
        <v>36</v>
      </c>
      <c r="H281">
        <v>1</v>
      </c>
      <c r="I281">
        <v>1957.47</v>
      </c>
      <c r="J281">
        <v>1957.47</v>
      </c>
      <c r="K281">
        <v>374.84</v>
      </c>
    </row>
    <row r="282" spans="1:11" x14ac:dyDescent="0.3">
      <c r="A282" t="s">
        <v>319</v>
      </c>
      <c r="B282" s="1">
        <v>45972</v>
      </c>
      <c r="C282" t="s">
        <v>18</v>
      </c>
      <c r="D282" t="s">
        <v>13</v>
      </c>
      <c r="E282" t="s">
        <v>27</v>
      </c>
      <c r="F282" t="s">
        <v>15</v>
      </c>
      <c r="G282" t="s">
        <v>51</v>
      </c>
      <c r="H282">
        <v>1</v>
      </c>
      <c r="I282">
        <v>38365.24</v>
      </c>
      <c r="J282">
        <v>38365.24</v>
      </c>
      <c r="K282">
        <v>8654.2199999999993</v>
      </c>
    </row>
    <row r="283" spans="1:11" x14ac:dyDescent="0.3">
      <c r="A283" t="s">
        <v>320</v>
      </c>
      <c r="B283" s="1">
        <v>45680</v>
      </c>
      <c r="C283" t="s">
        <v>62</v>
      </c>
      <c r="D283" t="s">
        <v>63</v>
      </c>
      <c r="E283" t="s">
        <v>14</v>
      </c>
      <c r="F283" t="s">
        <v>15</v>
      </c>
      <c r="G283" t="s">
        <v>16</v>
      </c>
      <c r="H283">
        <v>2</v>
      </c>
      <c r="I283">
        <v>120.95</v>
      </c>
      <c r="J283">
        <v>241.9</v>
      </c>
      <c r="K283">
        <v>44.48</v>
      </c>
    </row>
    <row r="284" spans="1:11" x14ac:dyDescent="0.3">
      <c r="A284" t="s">
        <v>321</v>
      </c>
      <c r="B284" s="1">
        <v>45806</v>
      </c>
      <c r="C284" t="s">
        <v>20</v>
      </c>
      <c r="D284" t="s">
        <v>21</v>
      </c>
      <c r="E284" t="s">
        <v>33</v>
      </c>
      <c r="F284" t="s">
        <v>23</v>
      </c>
      <c r="G284" t="s">
        <v>51</v>
      </c>
      <c r="H284">
        <v>3</v>
      </c>
      <c r="I284">
        <v>6800.97</v>
      </c>
      <c r="J284">
        <v>20402.91</v>
      </c>
      <c r="K284">
        <v>6061.4</v>
      </c>
    </row>
    <row r="285" spans="1:11" x14ac:dyDescent="0.3">
      <c r="A285" t="s">
        <v>322</v>
      </c>
      <c r="B285" s="1">
        <v>45812</v>
      </c>
      <c r="C285" t="s">
        <v>26</v>
      </c>
      <c r="D285" t="s">
        <v>13</v>
      </c>
      <c r="E285" t="s">
        <v>43</v>
      </c>
      <c r="F285" t="s">
        <v>15</v>
      </c>
      <c r="G285" t="s">
        <v>16</v>
      </c>
      <c r="H285">
        <v>5</v>
      </c>
      <c r="I285">
        <v>1807.65</v>
      </c>
      <c r="J285">
        <v>9038.25</v>
      </c>
      <c r="K285">
        <v>2462.69</v>
      </c>
    </row>
    <row r="286" spans="1:11" x14ac:dyDescent="0.3">
      <c r="A286" t="s">
        <v>323</v>
      </c>
      <c r="B286" s="1">
        <v>45960</v>
      </c>
      <c r="C286" t="s">
        <v>57</v>
      </c>
      <c r="D286" t="s">
        <v>13</v>
      </c>
      <c r="E286" t="s">
        <v>27</v>
      </c>
      <c r="F286" t="s">
        <v>15</v>
      </c>
      <c r="G286" t="s">
        <v>24</v>
      </c>
      <c r="H286">
        <v>4</v>
      </c>
      <c r="I286">
        <v>512.6</v>
      </c>
      <c r="J286">
        <v>2050.4</v>
      </c>
      <c r="K286">
        <v>551.41</v>
      </c>
    </row>
    <row r="287" spans="1:11" x14ac:dyDescent="0.3">
      <c r="A287" t="s">
        <v>324</v>
      </c>
      <c r="B287" s="1">
        <v>45987</v>
      </c>
      <c r="C287" t="s">
        <v>35</v>
      </c>
      <c r="D287" t="s">
        <v>13</v>
      </c>
      <c r="E287" t="s">
        <v>27</v>
      </c>
      <c r="F287" t="s">
        <v>15</v>
      </c>
      <c r="G287" t="s">
        <v>24</v>
      </c>
      <c r="H287">
        <v>1</v>
      </c>
      <c r="I287">
        <v>904.4</v>
      </c>
      <c r="J287">
        <v>904.4</v>
      </c>
      <c r="K287">
        <v>179.94</v>
      </c>
    </row>
    <row r="288" spans="1:11" x14ac:dyDescent="0.3">
      <c r="A288" t="s">
        <v>325</v>
      </c>
      <c r="B288" s="1">
        <v>45850</v>
      </c>
      <c r="C288" t="s">
        <v>26</v>
      </c>
      <c r="D288" t="s">
        <v>13</v>
      </c>
      <c r="E288" t="s">
        <v>43</v>
      </c>
      <c r="F288" t="s">
        <v>15</v>
      </c>
      <c r="G288" t="s">
        <v>36</v>
      </c>
      <c r="H288">
        <v>3</v>
      </c>
      <c r="I288">
        <v>1790.47</v>
      </c>
      <c r="J288">
        <v>5371.41</v>
      </c>
      <c r="K288">
        <v>854.97</v>
      </c>
    </row>
    <row r="289" spans="1:11" x14ac:dyDescent="0.3">
      <c r="A289" t="s">
        <v>326</v>
      </c>
      <c r="B289" s="1">
        <v>45687</v>
      </c>
      <c r="C289" t="s">
        <v>50</v>
      </c>
      <c r="D289" t="s">
        <v>39</v>
      </c>
      <c r="E289" t="s">
        <v>27</v>
      </c>
      <c r="F289" t="s">
        <v>15</v>
      </c>
      <c r="G289" t="s">
        <v>24</v>
      </c>
      <c r="H289">
        <v>1</v>
      </c>
      <c r="I289">
        <v>344.16</v>
      </c>
      <c r="J289">
        <v>344.16</v>
      </c>
      <c r="K289">
        <v>83.36</v>
      </c>
    </row>
    <row r="290" spans="1:11" x14ac:dyDescent="0.3">
      <c r="A290" t="s">
        <v>327</v>
      </c>
      <c r="B290" s="1">
        <v>45762</v>
      </c>
      <c r="C290" t="s">
        <v>117</v>
      </c>
      <c r="D290" t="s">
        <v>63</v>
      </c>
      <c r="E290" t="s">
        <v>14</v>
      </c>
      <c r="F290" t="s">
        <v>15</v>
      </c>
      <c r="G290" t="s">
        <v>30</v>
      </c>
      <c r="H290">
        <v>2</v>
      </c>
      <c r="I290">
        <v>86.76</v>
      </c>
      <c r="J290">
        <v>173.52</v>
      </c>
      <c r="K290">
        <v>27.72</v>
      </c>
    </row>
    <row r="291" spans="1:11" x14ac:dyDescent="0.3">
      <c r="A291" t="s">
        <v>328</v>
      </c>
      <c r="B291" s="1">
        <v>45795</v>
      </c>
      <c r="C291" t="s">
        <v>62</v>
      </c>
      <c r="D291" t="s">
        <v>63</v>
      </c>
      <c r="E291" t="s">
        <v>22</v>
      </c>
      <c r="F291" t="s">
        <v>15</v>
      </c>
      <c r="G291" t="s">
        <v>36</v>
      </c>
      <c r="H291">
        <v>2</v>
      </c>
      <c r="I291">
        <v>122.47</v>
      </c>
      <c r="J291">
        <v>244.94</v>
      </c>
      <c r="K291">
        <v>37.44</v>
      </c>
    </row>
    <row r="292" spans="1:11" x14ac:dyDescent="0.3">
      <c r="A292" t="s">
        <v>329</v>
      </c>
      <c r="B292" s="1">
        <v>45764</v>
      </c>
      <c r="C292" t="s">
        <v>117</v>
      </c>
      <c r="D292" t="s">
        <v>63</v>
      </c>
      <c r="E292" t="s">
        <v>22</v>
      </c>
      <c r="F292" t="s">
        <v>15</v>
      </c>
      <c r="G292" t="s">
        <v>36</v>
      </c>
      <c r="H292">
        <v>1</v>
      </c>
      <c r="I292">
        <v>86.54</v>
      </c>
      <c r="J292">
        <v>86.54</v>
      </c>
      <c r="K292">
        <v>28.12</v>
      </c>
    </row>
    <row r="293" spans="1:11" x14ac:dyDescent="0.3">
      <c r="A293" t="s">
        <v>330</v>
      </c>
      <c r="B293" s="1">
        <v>45782</v>
      </c>
      <c r="C293" t="s">
        <v>57</v>
      </c>
      <c r="D293" t="s">
        <v>13</v>
      </c>
      <c r="E293" t="s">
        <v>33</v>
      </c>
      <c r="F293" t="s">
        <v>23</v>
      </c>
      <c r="G293" t="s">
        <v>24</v>
      </c>
      <c r="H293">
        <v>2</v>
      </c>
      <c r="I293">
        <v>470.45</v>
      </c>
      <c r="J293">
        <v>940.9</v>
      </c>
      <c r="K293">
        <v>133.66999999999999</v>
      </c>
    </row>
    <row r="294" spans="1:11" x14ac:dyDescent="0.3">
      <c r="A294" t="s">
        <v>331</v>
      </c>
      <c r="B294" s="1">
        <v>45852</v>
      </c>
      <c r="C294" t="s">
        <v>38</v>
      </c>
      <c r="D294" t="s">
        <v>39</v>
      </c>
      <c r="E294" t="s">
        <v>33</v>
      </c>
      <c r="F294" t="s">
        <v>23</v>
      </c>
      <c r="G294" t="s">
        <v>36</v>
      </c>
      <c r="H294">
        <v>2</v>
      </c>
      <c r="I294">
        <v>1166.22</v>
      </c>
      <c r="J294">
        <v>2332.44</v>
      </c>
      <c r="K294">
        <v>727.71</v>
      </c>
    </row>
    <row r="295" spans="1:11" x14ac:dyDescent="0.3">
      <c r="A295" t="s">
        <v>332</v>
      </c>
      <c r="B295" s="1">
        <v>45708</v>
      </c>
      <c r="C295" t="s">
        <v>57</v>
      </c>
      <c r="D295" t="s">
        <v>13</v>
      </c>
      <c r="E295" t="s">
        <v>43</v>
      </c>
      <c r="F295" t="s">
        <v>23</v>
      </c>
      <c r="G295" t="s">
        <v>36</v>
      </c>
      <c r="H295">
        <v>2</v>
      </c>
      <c r="I295">
        <v>533.97</v>
      </c>
      <c r="J295">
        <v>1067.94</v>
      </c>
      <c r="K295">
        <v>151.94</v>
      </c>
    </row>
    <row r="296" spans="1:11" x14ac:dyDescent="0.3">
      <c r="A296" t="s">
        <v>333</v>
      </c>
      <c r="B296" s="1">
        <v>45681</v>
      </c>
      <c r="C296" t="s">
        <v>29</v>
      </c>
      <c r="D296" t="s">
        <v>13</v>
      </c>
      <c r="E296" t="s">
        <v>33</v>
      </c>
      <c r="F296" t="s">
        <v>23</v>
      </c>
      <c r="G296" t="s">
        <v>24</v>
      </c>
      <c r="H296">
        <v>4</v>
      </c>
      <c r="I296">
        <v>12579.01</v>
      </c>
      <c r="J296">
        <v>50316.04</v>
      </c>
      <c r="K296">
        <v>18907.900000000001</v>
      </c>
    </row>
    <row r="297" spans="1:11" x14ac:dyDescent="0.3">
      <c r="A297" t="s">
        <v>334</v>
      </c>
      <c r="B297" s="1">
        <v>45736</v>
      </c>
      <c r="C297" t="s">
        <v>20</v>
      </c>
      <c r="D297" t="s">
        <v>21</v>
      </c>
      <c r="E297" t="s">
        <v>27</v>
      </c>
      <c r="F297" t="s">
        <v>23</v>
      </c>
      <c r="G297" t="s">
        <v>24</v>
      </c>
      <c r="H297">
        <v>1</v>
      </c>
      <c r="I297">
        <v>6343.79</v>
      </c>
      <c r="J297">
        <v>6343.79</v>
      </c>
      <c r="K297">
        <v>1036.0999999999999</v>
      </c>
    </row>
    <row r="298" spans="1:11" x14ac:dyDescent="0.3">
      <c r="A298" t="s">
        <v>335</v>
      </c>
      <c r="B298" s="1">
        <v>45908</v>
      </c>
      <c r="C298" t="s">
        <v>57</v>
      </c>
      <c r="D298" t="s">
        <v>13</v>
      </c>
      <c r="E298" t="s">
        <v>43</v>
      </c>
      <c r="F298" t="s">
        <v>15</v>
      </c>
      <c r="G298" t="s">
        <v>51</v>
      </c>
      <c r="H298">
        <v>2</v>
      </c>
      <c r="I298">
        <v>499.06</v>
      </c>
      <c r="J298">
        <v>998.12</v>
      </c>
      <c r="K298">
        <v>335.63</v>
      </c>
    </row>
    <row r="299" spans="1:11" x14ac:dyDescent="0.3">
      <c r="A299" t="s">
        <v>336</v>
      </c>
      <c r="B299" s="1">
        <v>45937</v>
      </c>
      <c r="C299" t="s">
        <v>38</v>
      </c>
      <c r="D299" t="s">
        <v>39</v>
      </c>
      <c r="E299" t="s">
        <v>14</v>
      </c>
      <c r="F299" t="s">
        <v>15</v>
      </c>
      <c r="G299" t="s">
        <v>30</v>
      </c>
      <c r="H299">
        <v>1</v>
      </c>
      <c r="I299">
        <v>1293.45</v>
      </c>
      <c r="J299">
        <v>1293.45</v>
      </c>
      <c r="K299">
        <v>158.47</v>
      </c>
    </row>
    <row r="300" spans="1:11" x14ac:dyDescent="0.3">
      <c r="A300" t="s">
        <v>337</v>
      </c>
      <c r="B300" s="1">
        <v>46000</v>
      </c>
      <c r="C300" t="s">
        <v>18</v>
      </c>
      <c r="D300" t="s">
        <v>13</v>
      </c>
      <c r="E300" t="s">
        <v>22</v>
      </c>
      <c r="F300" t="s">
        <v>15</v>
      </c>
      <c r="G300" t="s">
        <v>51</v>
      </c>
      <c r="H300">
        <v>3</v>
      </c>
      <c r="I300">
        <v>41264.089999999997</v>
      </c>
      <c r="J300">
        <v>123792.27</v>
      </c>
      <c r="K300">
        <v>19922.93</v>
      </c>
    </row>
    <row r="301" spans="1:11" x14ac:dyDescent="0.3">
      <c r="A301" t="s">
        <v>338</v>
      </c>
      <c r="B301" s="1">
        <v>45662</v>
      </c>
      <c r="C301" t="s">
        <v>20</v>
      </c>
      <c r="D301" t="s">
        <v>21</v>
      </c>
      <c r="E301" t="s">
        <v>33</v>
      </c>
      <c r="F301" t="s">
        <v>23</v>
      </c>
      <c r="G301" t="s">
        <v>36</v>
      </c>
      <c r="H301">
        <v>2</v>
      </c>
      <c r="I301">
        <v>6335.16</v>
      </c>
      <c r="J301">
        <v>12670.32</v>
      </c>
      <c r="K301">
        <v>2779.4</v>
      </c>
    </row>
    <row r="302" spans="1:11" x14ac:dyDescent="0.3">
      <c r="A302" t="s">
        <v>339</v>
      </c>
      <c r="B302" s="1">
        <v>45666</v>
      </c>
      <c r="C302" t="s">
        <v>18</v>
      </c>
      <c r="D302" t="s">
        <v>13</v>
      </c>
      <c r="E302" t="s">
        <v>43</v>
      </c>
      <c r="F302" t="s">
        <v>23</v>
      </c>
      <c r="G302" t="s">
        <v>30</v>
      </c>
      <c r="H302">
        <v>2</v>
      </c>
      <c r="I302">
        <v>41255.24</v>
      </c>
      <c r="J302">
        <v>82510.48</v>
      </c>
      <c r="K302">
        <v>30995.16</v>
      </c>
    </row>
    <row r="303" spans="1:11" x14ac:dyDescent="0.3">
      <c r="A303" t="s">
        <v>340</v>
      </c>
      <c r="B303" s="1">
        <v>45915</v>
      </c>
      <c r="C303" t="s">
        <v>57</v>
      </c>
      <c r="D303" t="s">
        <v>13</v>
      </c>
      <c r="E303" t="s">
        <v>14</v>
      </c>
      <c r="F303" t="s">
        <v>15</v>
      </c>
      <c r="G303" t="s">
        <v>16</v>
      </c>
      <c r="H303">
        <v>2</v>
      </c>
      <c r="I303">
        <v>530.62</v>
      </c>
      <c r="J303">
        <v>1061.24</v>
      </c>
      <c r="K303">
        <v>152.24</v>
      </c>
    </row>
    <row r="304" spans="1:11" x14ac:dyDescent="0.3">
      <c r="A304" t="s">
        <v>341</v>
      </c>
      <c r="B304" s="1">
        <v>45734</v>
      </c>
      <c r="C304" t="s">
        <v>20</v>
      </c>
      <c r="D304" t="s">
        <v>21</v>
      </c>
      <c r="E304" t="s">
        <v>43</v>
      </c>
      <c r="F304" t="s">
        <v>23</v>
      </c>
      <c r="G304" t="s">
        <v>30</v>
      </c>
      <c r="H304">
        <v>1</v>
      </c>
      <c r="I304">
        <v>6534.39</v>
      </c>
      <c r="J304">
        <v>6534.39</v>
      </c>
      <c r="K304">
        <v>1098.07</v>
      </c>
    </row>
    <row r="305" spans="1:11" x14ac:dyDescent="0.3">
      <c r="A305" t="s">
        <v>342</v>
      </c>
      <c r="B305" s="1">
        <v>45849</v>
      </c>
      <c r="C305" t="s">
        <v>62</v>
      </c>
      <c r="D305" t="s">
        <v>63</v>
      </c>
      <c r="E305" t="s">
        <v>43</v>
      </c>
      <c r="F305" t="s">
        <v>15</v>
      </c>
      <c r="G305" t="s">
        <v>30</v>
      </c>
      <c r="H305">
        <v>2</v>
      </c>
      <c r="I305">
        <v>113.84</v>
      </c>
      <c r="J305">
        <v>227.68</v>
      </c>
      <c r="K305">
        <v>45.24</v>
      </c>
    </row>
    <row r="306" spans="1:11" x14ac:dyDescent="0.3">
      <c r="A306" t="s">
        <v>343</v>
      </c>
      <c r="B306" s="1">
        <v>45705</v>
      </c>
      <c r="C306" t="s">
        <v>62</v>
      </c>
      <c r="D306" t="s">
        <v>63</v>
      </c>
      <c r="E306" t="s">
        <v>14</v>
      </c>
      <c r="F306" t="s">
        <v>15</v>
      </c>
      <c r="G306" t="s">
        <v>30</v>
      </c>
      <c r="H306">
        <v>1</v>
      </c>
      <c r="I306">
        <v>121.26</v>
      </c>
      <c r="J306">
        <v>121.26</v>
      </c>
      <c r="K306">
        <v>44.31</v>
      </c>
    </row>
    <row r="307" spans="1:11" x14ac:dyDescent="0.3">
      <c r="A307" t="s">
        <v>344</v>
      </c>
      <c r="B307" s="1">
        <v>45913</v>
      </c>
      <c r="C307" t="s">
        <v>62</v>
      </c>
      <c r="D307" t="s">
        <v>63</v>
      </c>
      <c r="E307" t="s">
        <v>14</v>
      </c>
      <c r="F307" t="s">
        <v>15</v>
      </c>
      <c r="G307" t="s">
        <v>51</v>
      </c>
      <c r="H307">
        <v>2</v>
      </c>
      <c r="I307">
        <v>115.95</v>
      </c>
      <c r="J307">
        <v>231.9</v>
      </c>
      <c r="K307">
        <v>29.19</v>
      </c>
    </row>
    <row r="308" spans="1:11" x14ac:dyDescent="0.3">
      <c r="A308" t="s">
        <v>345</v>
      </c>
      <c r="B308" s="1">
        <v>45766</v>
      </c>
      <c r="C308" t="s">
        <v>57</v>
      </c>
      <c r="D308" t="s">
        <v>13</v>
      </c>
      <c r="E308" t="s">
        <v>14</v>
      </c>
      <c r="F308" t="s">
        <v>23</v>
      </c>
      <c r="G308" t="s">
        <v>16</v>
      </c>
      <c r="H308">
        <v>4</v>
      </c>
      <c r="I308">
        <v>497.55</v>
      </c>
      <c r="J308">
        <v>1990.2</v>
      </c>
      <c r="K308">
        <v>732.18</v>
      </c>
    </row>
    <row r="309" spans="1:11" x14ac:dyDescent="0.3">
      <c r="A309" t="s">
        <v>346</v>
      </c>
      <c r="B309" s="1">
        <v>45946</v>
      </c>
      <c r="C309" t="s">
        <v>35</v>
      </c>
      <c r="D309" t="s">
        <v>13</v>
      </c>
      <c r="E309" t="s">
        <v>22</v>
      </c>
      <c r="F309" t="s">
        <v>15</v>
      </c>
      <c r="G309" t="s">
        <v>36</v>
      </c>
      <c r="H309">
        <v>1</v>
      </c>
      <c r="I309">
        <v>977.18</v>
      </c>
      <c r="J309">
        <v>977.18</v>
      </c>
      <c r="K309">
        <v>291.43</v>
      </c>
    </row>
    <row r="310" spans="1:11" x14ac:dyDescent="0.3">
      <c r="A310" t="s">
        <v>347</v>
      </c>
      <c r="B310" s="1">
        <v>45697</v>
      </c>
      <c r="C310" t="s">
        <v>32</v>
      </c>
      <c r="D310" t="s">
        <v>21</v>
      </c>
      <c r="E310" t="s">
        <v>27</v>
      </c>
      <c r="F310" t="s">
        <v>23</v>
      </c>
      <c r="G310" t="s">
        <v>36</v>
      </c>
      <c r="H310">
        <v>1</v>
      </c>
      <c r="I310">
        <v>8532.85</v>
      </c>
      <c r="J310">
        <v>8532.85</v>
      </c>
      <c r="K310">
        <v>1390.78</v>
      </c>
    </row>
    <row r="311" spans="1:11" x14ac:dyDescent="0.3">
      <c r="A311" t="s">
        <v>348</v>
      </c>
      <c r="B311" s="1">
        <v>45729</v>
      </c>
      <c r="C311" t="s">
        <v>57</v>
      </c>
      <c r="D311" t="s">
        <v>13</v>
      </c>
      <c r="E311" t="s">
        <v>14</v>
      </c>
      <c r="F311" t="s">
        <v>15</v>
      </c>
      <c r="G311" t="s">
        <v>36</v>
      </c>
      <c r="H311">
        <v>3</v>
      </c>
      <c r="I311">
        <v>500.08</v>
      </c>
      <c r="J311">
        <v>1500.24</v>
      </c>
      <c r="K311">
        <v>190.04</v>
      </c>
    </row>
    <row r="312" spans="1:11" x14ac:dyDescent="0.3">
      <c r="A312" t="s">
        <v>349</v>
      </c>
      <c r="B312" s="1">
        <v>45776</v>
      </c>
      <c r="C312" t="s">
        <v>12</v>
      </c>
      <c r="D312" t="s">
        <v>13</v>
      </c>
      <c r="E312" t="s">
        <v>27</v>
      </c>
      <c r="F312" t="s">
        <v>23</v>
      </c>
      <c r="G312" t="s">
        <v>30</v>
      </c>
      <c r="H312">
        <v>1</v>
      </c>
      <c r="I312">
        <v>18968.419999999998</v>
      </c>
      <c r="J312">
        <v>18968.419999999998</v>
      </c>
      <c r="K312">
        <v>2498.84</v>
      </c>
    </row>
    <row r="313" spans="1:11" x14ac:dyDescent="0.3">
      <c r="A313" t="s">
        <v>350</v>
      </c>
      <c r="B313" s="1">
        <v>45982</v>
      </c>
      <c r="C313" t="s">
        <v>32</v>
      </c>
      <c r="D313" t="s">
        <v>21</v>
      </c>
      <c r="E313" t="s">
        <v>33</v>
      </c>
      <c r="F313" t="s">
        <v>23</v>
      </c>
      <c r="G313" t="s">
        <v>36</v>
      </c>
      <c r="H313">
        <v>3</v>
      </c>
      <c r="I313">
        <v>8910.99</v>
      </c>
      <c r="J313">
        <v>26732.97</v>
      </c>
      <c r="K313">
        <v>8572.84</v>
      </c>
    </row>
    <row r="314" spans="1:11" x14ac:dyDescent="0.3">
      <c r="A314" t="s">
        <v>351</v>
      </c>
      <c r="B314" s="1">
        <v>45753</v>
      </c>
      <c r="C314" t="s">
        <v>35</v>
      </c>
      <c r="D314" t="s">
        <v>13</v>
      </c>
      <c r="E314" t="s">
        <v>43</v>
      </c>
      <c r="F314" t="s">
        <v>15</v>
      </c>
      <c r="G314" t="s">
        <v>30</v>
      </c>
      <c r="H314">
        <v>2</v>
      </c>
      <c r="I314">
        <v>878.41</v>
      </c>
      <c r="J314">
        <v>1756.82</v>
      </c>
      <c r="K314">
        <v>314.89</v>
      </c>
    </row>
    <row r="315" spans="1:11" x14ac:dyDescent="0.3">
      <c r="A315" t="s">
        <v>352</v>
      </c>
      <c r="B315" s="1">
        <v>45700</v>
      </c>
      <c r="C315" t="s">
        <v>32</v>
      </c>
      <c r="D315" t="s">
        <v>21</v>
      </c>
      <c r="E315" t="s">
        <v>27</v>
      </c>
      <c r="F315" t="s">
        <v>23</v>
      </c>
      <c r="G315" t="s">
        <v>24</v>
      </c>
      <c r="H315">
        <v>1</v>
      </c>
      <c r="I315">
        <v>9381.02</v>
      </c>
      <c r="J315">
        <v>9381.02</v>
      </c>
      <c r="K315">
        <v>2018.66</v>
      </c>
    </row>
    <row r="316" spans="1:11" x14ac:dyDescent="0.3">
      <c r="A316" t="s">
        <v>353</v>
      </c>
      <c r="B316" s="1">
        <v>45712</v>
      </c>
      <c r="C316" t="s">
        <v>12</v>
      </c>
      <c r="D316" t="s">
        <v>13</v>
      </c>
      <c r="E316" t="s">
        <v>43</v>
      </c>
      <c r="F316" t="s">
        <v>15</v>
      </c>
      <c r="G316" t="s">
        <v>51</v>
      </c>
      <c r="H316">
        <v>1</v>
      </c>
      <c r="I316">
        <v>17309.759999999998</v>
      </c>
      <c r="J316">
        <v>17309.759999999998</v>
      </c>
      <c r="K316">
        <v>4957.8900000000003</v>
      </c>
    </row>
    <row r="317" spans="1:11" x14ac:dyDescent="0.3">
      <c r="A317" t="s">
        <v>354</v>
      </c>
      <c r="B317" s="1">
        <v>45702</v>
      </c>
      <c r="C317" t="s">
        <v>26</v>
      </c>
      <c r="D317" t="s">
        <v>13</v>
      </c>
      <c r="E317" t="s">
        <v>14</v>
      </c>
      <c r="F317" t="s">
        <v>15</v>
      </c>
      <c r="G317" t="s">
        <v>30</v>
      </c>
      <c r="H317">
        <v>2</v>
      </c>
      <c r="I317">
        <v>1820.51</v>
      </c>
      <c r="J317">
        <v>3641.02</v>
      </c>
      <c r="K317">
        <v>898.48</v>
      </c>
    </row>
    <row r="318" spans="1:11" x14ac:dyDescent="0.3">
      <c r="A318" t="s">
        <v>355</v>
      </c>
      <c r="B318" s="1">
        <v>45839</v>
      </c>
      <c r="C318" t="s">
        <v>50</v>
      </c>
      <c r="D318" t="s">
        <v>39</v>
      </c>
      <c r="E318" t="s">
        <v>27</v>
      </c>
      <c r="F318" t="s">
        <v>15</v>
      </c>
      <c r="G318" t="s">
        <v>24</v>
      </c>
      <c r="H318">
        <v>1</v>
      </c>
      <c r="I318">
        <v>356.86</v>
      </c>
      <c r="J318">
        <v>356.86</v>
      </c>
      <c r="K318">
        <v>105.5</v>
      </c>
    </row>
    <row r="319" spans="1:11" x14ac:dyDescent="0.3">
      <c r="A319" t="s">
        <v>356</v>
      </c>
      <c r="B319" s="1">
        <v>45869</v>
      </c>
      <c r="C319" t="s">
        <v>62</v>
      </c>
      <c r="D319" t="s">
        <v>63</v>
      </c>
      <c r="E319" t="s">
        <v>22</v>
      </c>
      <c r="F319" t="s">
        <v>15</v>
      </c>
      <c r="G319" t="s">
        <v>36</v>
      </c>
      <c r="H319">
        <v>3</v>
      </c>
      <c r="I319">
        <v>125.4</v>
      </c>
      <c r="J319">
        <v>376.2</v>
      </c>
      <c r="K319">
        <v>88.23</v>
      </c>
    </row>
    <row r="320" spans="1:11" x14ac:dyDescent="0.3">
      <c r="A320" t="s">
        <v>357</v>
      </c>
      <c r="B320" s="1">
        <v>45744</v>
      </c>
      <c r="C320" t="s">
        <v>26</v>
      </c>
      <c r="D320" t="s">
        <v>13</v>
      </c>
      <c r="E320" t="s">
        <v>22</v>
      </c>
      <c r="F320" t="s">
        <v>23</v>
      </c>
      <c r="G320" t="s">
        <v>24</v>
      </c>
      <c r="H320">
        <v>1</v>
      </c>
      <c r="I320">
        <v>1716.63</v>
      </c>
      <c r="J320">
        <v>1716.63</v>
      </c>
      <c r="K320">
        <v>587.19000000000005</v>
      </c>
    </row>
    <row r="321" spans="1:11" x14ac:dyDescent="0.3">
      <c r="A321" t="s">
        <v>358</v>
      </c>
      <c r="B321" s="1">
        <v>45873</v>
      </c>
      <c r="C321" t="s">
        <v>32</v>
      </c>
      <c r="D321" t="s">
        <v>21</v>
      </c>
      <c r="E321" t="s">
        <v>22</v>
      </c>
      <c r="F321" t="s">
        <v>23</v>
      </c>
      <c r="G321" t="s">
        <v>16</v>
      </c>
      <c r="H321">
        <v>2</v>
      </c>
      <c r="I321">
        <v>8238.4599999999991</v>
      </c>
      <c r="J321">
        <v>16476.919999999998</v>
      </c>
      <c r="K321">
        <v>5182.95</v>
      </c>
    </row>
    <row r="322" spans="1:11" x14ac:dyDescent="0.3">
      <c r="A322" t="s">
        <v>359</v>
      </c>
      <c r="B322" s="1">
        <v>45973</v>
      </c>
      <c r="C322" t="s">
        <v>20</v>
      </c>
      <c r="D322" t="s">
        <v>21</v>
      </c>
      <c r="E322" t="s">
        <v>27</v>
      </c>
      <c r="F322" t="s">
        <v>23</v>
      </c>
      <c r="G322" t="s">
        <v>16</v>
      </c>
      <c r="H322">
        <v>2</v>
      </c>
      <c r="I322">
        <v>6026.14</v>
      </c>
      <c r="J322">
        <v>12052.28</v>
      </c>
      <c r="K322">
        <v>4558.66</v>
      </c>
    </row>
    <row r="323" spans="1:11" x14ac:dyDescent="0.3">
      <c r="A323" t="s">
        <v>360</v>
      </c>
      <c r="B323" s="1">
        <v>45852</v>
      </c>
      <c r="C323" t="s">
        <v>117</v>
      </c>
      <c r="D323" t="s">
        <v>63</v>
      </c>
      <c r="E323" t="s">
        <v>33</v>
      </c>
      <c r="F323" t="s">
        <v>15</v>
      </c>
      <c r="G323" t="s">
        <v>24</v>
      </c>
      <c r="H323">
        <v>2</v>
      </c>
      <c r="I323">
        <v>78.89</v>
      </c>
      <c r="J323">
        <v>157.78</v>
      </c>
      <c r="K323">
        <v>26.17</v>
      </c>
    </row>
    <row r="324" spans="1:11" x14ac:dyDescent="0.3">
      <c r="A324" t="s">
        <v>361</v>
      </c>
      <c r="B324" s="1">
        <v>45822</v>
      </c>
      <c r="C324" t="s">
        <v>29</v>
      </c>
      <c r="D324" t="s">
        <v>13</v>
      </c>
      <c r="E324" t="s">
        <v>27</v>
      </c>
      <c r="F324" t="s">
        <v>23</v>
      </c>
      <c r="G324" t="s">
        <v>24</v>
      </c>
      <c r="H324">
        <v>4</v>
      </c>
      <c r="I324">
        <v>11282.04</v>
      </c>
      <c r="J324">
        <v>45128.160000000003</v>
      </c>
      <c r="K324">
        <v>13462.29</v>
      </c>
    </row>
    <row r="325" spans="1:11" x14ac:dyDescent="0.3">
      <c r="A325" t="s">
        <v>362</v>
      </c>
      <c r="B325" s="1">
        <v>46013</v>
      </c>
      <c r="C325" t="s">
        <v>35</v>
      </c>
      <c r="D325" t="s">
        <v>13</v>
      </c>
      <c r="E325" t="s">
        <v>27</v>
      </c>
      <c r="F325" t="s">
        <v>23</v>
      </c>
      <c r="G325" t="s">
        <v>36</v>
      </c>
      <c r="H325">
        <v>2</v>
      </c>
      <c r="I325">
        <v>913.66</v>
      </c>
      <c r="J325">
        <v>1827.32</v>
      </c>
      <c r="K325">
        <v>579.21</v>
      </c>
    </row>
    <row r="326" spans="1:11" x14ac:dyDescent="0.3">
      <c r="A326" t="s">
        <v>363</v>
      </c>
      <c r="B326" s="1">
        <v>45844</v>
      </c>
      <c r="C326" t="s">
        <v>12</v>
      </c>
      <c r="D326" t="s">
        <v>13</v>
      </c>
      <c r="E326" t="s">
        <v>22</v>
      </c>
      <c r="F326" t="s">
        <v>15</v>
      </c>
      <c r="G326" t="s">
        <v>36</v>
      </c>
      <c r="H326">
        <v>4</v>
      </c>
      <c r="I326">
        <v>16919.28</v>
      </c>
      <c r="J326">
        <v>67677.119999999995</v>
      </c>
      <c r="K326">
        <v>8169.38</v>
      </c>
    </row>
    <row r="327" spans="1:11" x14ac:dyDescent="0.3">
      <c r="A327" t="s">
        <v>364</v>
      </c>
      <c r="B327" s="1">
        <v>46020</v>
      </c>
      <c r="C327" t="s">
        <v>20</v>
      </c>
      <c r="D327" t="s">
        <v>21</v>
      </c>
      <c r="E327" t="s">
        <v>27</v>
      </c>
      <c r="F327" t="s">
        <v>23</v>
      </c>
      <c r="G327" t="s">
        <v>51</v>
      </c>
      <c r="H327">
        <v>2</v>
      </c>
      <c r="I327">
        <v>6228.73</v>
      </c>
      <c r="J327">
        <v>12457.46</v>
      </c>
      <c r="K327">
        <v>2489.7800000000002</v>
      </c>
    </row>
    <row r="328" spans="1:11" x14ac:dyDescent="0.3">
      <c r="A328" t="s">
        <v>365</v>
      </c>
      <c r="B328" s="1">
        <v>45982</v>
      </c>
      <c r="C328" t="s">
        <v>32</v>
      </c>
      <c r="D328" t="s">
        <v>21</v>
      </c>
      <c r="E328" t="s">
        <v>27</v>
      </c>
      <c r="F328" t="s">
        <v>15</v>
      </c>
      <c r="G328" t="s">
        <v>36</v>
      </c>
      <c r="H328">
        <v>1</v>
      </c>
      <c r="I328">
        <v>9285.59</v>
      </c>
      <c r="J328">
        <v>9285.59</v>
      </c>
      <c r="K328">
        <v>1801.76</v>
      </c>
    </row>
    <row r="329" spans="1:11" x14ac:dyDescent="0.3">
      <c r="A329" t="s">
        <v>366</v>
      </c>
      <c r="B329" s="1">
        <v>45964</v>
      </c>
      <c r="C329" t="s">
        <v>38</v>
      </c>
      <c r="D329" t="s">
        <v>39</v>
      </c>
      <c r="E329" t="s">
        <v>27</v>
      </c>
      <c r="F329" t="s">
        <v>15</v>
      </c>
      <c r="G329" t="s">
        <v>24</v>
      </c>
      <c r="H329">
        <v>2</v>
      </c>
      <c r="I329">
        <v>1208.25</v>
      </c>
      <c r="J329">
        <v>2416.5</v>
      </c>
      <c r="K329">
        <v>338.05</v>
      </c>
    </row>
    <row r="330" spans="1:11" x14ac:dyDescent="0.3">
      <c r="A330" t="s">
        <v>367</v>
      </c>
      <c r="B330" s="1">
        <v>46017</v>
      </c>
      <c r="C330" t="s">
        <v>50</v>
      </c>
      <c r="D330" t="s">
        <v>39</v>
      </c>
      <c r="E330" t="s">
        <v>22</v>
      </c>
      <c r="F330" t="s">
        <v>23</v>
      </c>
      <c r="G330" t="s">
        <v>51</v>
      </c>
      <c r="H330">
        <v>2</v>
      </c>
      <c r="I330">
        <v>379.01</v>
      </c>
      <c r="J330">
        <v>758.02</v>
      </c>
      <c r="K330">
        <v>266.49</v>
      </c>
    </row>
    <row r="331" spans="1:11" x14ac:dyDescent="0.3">
      <c r="A331" t="s">
        <v>368</v>
      </c>
      <c r="B331" s="1">
        <v>45989</v>
      </c>
      <c r="C331" t="s">
        <v>29</v>
      </c>
      <c r="D331" t="s">
        <v>13</v>
      </c>
      <c r="E331" t="s">
        <v>27</v>
      </c>
      <c r="F331" t="s">
        <v>23</v>
      </c>
      <c r="G331" t="s">
        <v>36</v>
      </c>
      <c r="H331">
        <v>1</v>
      </c>
      <c r="I331">
        <v>13160.66</v>
      </c>
      <c r="J331">
        <v>13160.66</v>
      </c>
      <c r="K331">
        <v>2682.9</v>
      </c>
    </row>
    <row r="332" spans="1:11" x14ac:dyDescent="0.3">
      <c r="A332" t="s">
        <v>369</v>
      </c>
      <c r="B332" s="1">
        <v>45712</v>
      </c>
      <c r="C332" t="s">
        <v>18</v>
      </c>
      <c r="D332" t="s">
        <v>13</v>
      </c>
      <c r="E332" t="s">
        <v>33</v>
      </c>
      <c r="F332" t="s">
        <v>15</v>
      </c>
      <c r="G332" t="s">
        <v>36</v>
      </c>
      <c r="H332">
        <v>1</v>
      </c>
      <c r="I332">
        <v>39664.81</v>
      </c>
      <c r="J332">
        <v>39664.81</v>
      </c>
      <c r="K332">
        <v>7370.44</v>
      </c>
    </row>
    <row r="333" spans="1:11" x14ac:dyDescent="0.3">
      <c r="A333" t="s">
        <v>370</v>
      </c>
      <c r="B333" s="1">
        <v>45849</v>
      </c>
      <c r="C333" t="s">
        <v>62</v>
      </c>
      <c r="D333" t="s">
        <v>63</v>
      </c>
      <c r="E333" t="s">
        <v>22</v>
      </c>
      <c r="F333" t="s">
        <v>23</v>
      </c>
      <c r="G333" t="s">
        <v>30</v>
      </c>
      <c r="H333">
        <v>2</v>
      </c>
      <c r="I333">
        <v>124.31</v>
      </c>
      <c r="J333">
        <v>248.62</v>
      </c>
      <c r="K333">
        <v>49.84</v>
      </c>
    </row>
    <row r="334" spans="1:11" x14ac:dyDescent="0.3">
      <c r="A334" t="s">
        <v>371</v>
      </c>
      <c r="B334" s="1">
        <v>45905</v>
      </c>
      <c r="C334" t="s">
        <v>12</v>
      </c>
      <c r="D334" t="s">
        <v>13</v>
      </c>
      <c r="E334" t="s">
        <v>22</v>
      </c>
      <c r="F334" t="s">
        <v>23</v>
      </c>
      <c r="G334" t="s">
        <v>24</v>
      </c>
      <c r="H334">
        <v>1</v>
      </c>
      <c r="I334">
        <v>19513.97</v>
      </c>
      <c r="J334">
        <v>19513.97</v>
      </c>
      <c r="K334">
        <v>6979.71</v>
      </c>
    </row>
    <row r="335" spans="1:11" x14ac:dyDescent="0.3">
      <c r="A335" t="s">
        <v>372</v>
      </c>
      <c r="B335" s="1">
        <v>45833</v>
      </c>
      <c r="C335" t="s">
        <v>38</v>
      </c>
      <c r="D335" t="s">
        <v>39</v>
      </c>
      <c r="E335" t="s">
        <v>14</v>
      </c>
      <c r="F335" t="s">
        <v>23</v>
      </c>
      <c r="G335" t="s">
        <v>36</v>
      </c>
      <c r="H335">
        <v>3</v>
      </c>
      <c r="I335">
        <v>1205.07</v>
      </c>
      <c r="J335">
        <v>3615.21</v>
      </c>
      <c r="K335">
        <v>1046.3900000000001</v>
      </c>
    </row>
    <row r="336" spans="1:11" x14ac:dyDescent="0.3">
      <c r="A336" t="s">
        <v>373</v>
      </c>
      <c r="B336" s="1">
        <v>45821</v>
      </c>
      <c r="C336" t="s">
        <v>12</v>
      </c>
      <c r="D336" t="s">
        <v>13</v>
      </c>
      <c r="E336" t="s">
        <v>43</v>
      </c>
      <c r="F336" t="s">
        <v>15</v>
      </c>
      <c r="G336" t="s">
        <v>51</v>
      </c>
      <c r="H336">
        <v>1</v>
      </c>
      <c r="I336">
        <v>19116.669999999998</v>
      </c>
      <c r="J336">
        <v>19116.669999999998</v>
      </c>
      <c r="K336">
        <v>6692.32</v>
      </c>
    </row>
    <row r="337" spans="1:11" x14ac:dyDescent="0.3">
      <c r="A337" t="s">
        <v>374</v>
      </c>
      <c r="B337" s="1">
        <v>45782</v>
      </c>
      <c r="C337" t="s">
        <v>50</v>
      </c>
      <c r="D337" t="s">
        <v>39</v>
      </c>
      <c r="E337" t="s">
        <v>27</v>
      </c>
      <c r="F337" t="s">
        <v>15</v>
      </c>
      <c r="G337" t="s">
        <v>36</v>
      </c>
      <c r="H337">
        <v>1</v>
      </c>
      <c r="I337">
        <v>326.20999999999998</v>
      </c>
      <c r="J337">
        <v>326.20999999999998</v>
      </c>
      <c r="K337">
        <v>76.48</v>
      </c>
    </row>
    <row r="338" spans="1:11" x14ac:dyDescent="0.3">
      <c r="A338" t="s">
        <v>375</v>
      </c>
      <c r="B338" s="1">
        <v>45980</v>
      </c>
      <c r="C338" t="s">
        <v>26</v>
      </c>
      <c r="D338" t="s">
        <v>13</v>
      </c>
      <c r="E338" t="s">
        <v>33</v>
      </c>
      <c r="F338" t="s">
        <v>15</v>
      </c>
      <c r="G338" t="s">
        <v>36</v>
      </c>
      <c r="H338">
        <v>1</v>
      </c>
      <c r="I338">
        <v>1856.63</v>
      </c>
      <c r="J338">
        <v>1856.63</v>
      </c>
      <c r="K338">
        <v>514.55999999999995</v>
      </c>
    </row>
    <row r="339" spans="1:11" x14ac:dyDescent="0.3">
      <c r="A339" t="s">
        <v>376</v>
      </c>
      <c r="B339" s="1">
        <v>45961</v>
      </c>
      <c r="C339" t="s">
        <v>62</v>
      </c>
      <c r="D339" t="s">
        <v>63</v>
      </c>
      <c r="E339" t="s">
        <v>14</v>
      </c>
      <c r="F339" t="s">
        <v>15</v>
      </c>
      <c r="G339" t="s">
        <v>16</v>
      </c>
      <c r="H339">
        <v>1</v>
      </c>
      <c r="I339">
        <v>124.91</v>
      </c>
      <c r="J339">
        <v>124.91</v>
      </c>
      <c r="K339">
        <v>40.78</v>
      </c>
    </row>
    <row r="340" spans="1:11" x14ac:dyDescent="0.3">
      <c r="A340" t="s">
        <v>377</v>
      </c>
      <c r="B340" s="1">
        <v>45753</v>
      </c>
      <c r="C340" t="s">
        <v>117</v>
      </c>
      <c r="D340" t="s">
        <v>63</v>
      </c>
      <c r="E340" t="s">
        <v>27</v>
      </c>
      <c r="F340" t="s">
        <v>23</v>
      </c>
      <c r="G340" t="s">
        <v>16</v>
      </c>
      <c r="H340">
        <v>1</v>
      </c>
      <c r="I340">
        <v>79.319999999999993</v>
      </c>
      <c r="J340">
        <v>79.319999999999993</v>
      </c>
      <c r="K340">
        <v>24.73</v>
      </c>
    </row>
    <row r="341" spans="1:11" x14ac:dyDescent="0.3">
      <c r="A341" t="s">
        <v>378</v>
      </c>
      <c r="B341" s="1">
        <v>45856</v>
      </c>
      <c r="C341" t="s">
        <v>29</v>
      </c>
      <c r="D341" t="s">
        <v>13</v>
      </c>
      <c r="E341" t="s">
        <v>27</v>
      </c>
      <c r="F341" t="s">
        <v>15</v>
      </c>
      <c r="G341" t="s">
        <v>24</v>
      </c>
      <c r="H341">
        <v>1</v>
      </c>
      <c r="I341">
        <v>11074.16</v>
      </c>
      <c r="J341">
        <v>11074.16</v>
      </c>
      <c r="K341">
        <v>3194.72</v>
      </c>
    </row>
    <row r="342" spans="1:11" x14ac:dyDescent="0.3">
      <c r="A342" t="s">
        <v>379</v>
      </c>
      <c r="B342" s="1">
        <v>45972</v>
      </c>
      <c r="C342" t="s">
        <v>29</v>
      </c>
      <c r="D342" t="s">
        <v>13</v>
      </c>
      <c r="E342" t="s">
        <v>43</v>
      </c>
      <c r="F342" t="s">
        <v>15</v>
      </c>
      <c r="G342" t="s">
        <v>51</v>
      </c>
      <c r="H342">
        <v>1</v>
      </c>
      <c r="I342">
        <v>11121.47</v>
      </c>
      <c r="J342">
        <v>11121.47</v>
      </c>
      <c r="K342">
        <v>3885.35</v>
      </c>
    </row>
    <row r="343" spans="1:11" x14ac:dyDescent="0.3">
      <c r="A343" t="s">
        <v>380</v>
      </c>
      <c r="B343" s="1">
        <v>45849</v>
      </c>
      <c r="C343" t="s">
        <v>57</v>
      </c>
      <c r="D343" t="s">
        <v>13</v>
      </c>
      <c r="E343" t="s">
        <v>33</v>
      </c>
      <c r="F343" t="s">
        <v>23</v>
      </c>
      <c r="G343" t="s">
        <v>36</v>
      </c>
      <c r="H343">
        <v>1</v>
      </c>
      <c r="I343">
        <v>488.85</v>
      </c>
      <c r="J343">
        <v>488.85</v>
      </c>
      <c r="K343">
        <v>109.96</v>
      </c>
    </row>
    <row r="344" spans="1:11" x14ac:dyDescent="0.3">
      <c r="A344" t="s">
        <v>381</v>
      </c>
      <c r="B344" s="1">
        <v>45753</v>
      </c>
      <c r="C344" t="s">
        <v>38</v>
      </c>
      <c r="D344" t="s">
        <v>39</v>
      </c>
      <c r="E344" t="s">
        <v>22</v>
      </c>
      <c r="F344" t="s">
        <v>15</v>
      </c>
      <c r="G344" t="s">
        <v>36</v>
      </c>
      <c r="H344">
        <v>2</v>
      </c>
      <c r="I344">
        <v>1246.42</v>
      </c>
      <c r="J344">
        <v>2492.84</v>
      </c>
      <c r="K344">
        <v>529.05999999999995</v>
      </c>
    </row>
    <row r="345" spans="1:11" x14ac:dyDescent="0.3">
      <c r="A345" t="s">
        <v>382</v>
      </c>
      <c r="B345" s="1">
        <v>45805</v>
      </c>
      <c r="C345" t="s">
        <v>26</v>
      </c>
      <c r="D345" t="s">
        <v>13</v>
      </c>
      <c r="E345" t="s">
        <v>43</v>
      </c>
      <c r="F345" t="s">
        <v>15</v>
      </c>
      <c r="G345" t="s">
        <v>36</v>
      </c>
      <c r="H345">
        <v>1</v>
      </c>
      <c r="I345">
        <v>1923.11</v>
      </c>
      <c r="J345">
        <v>1923.11</v>
      </c>
      <c r="K345">
        <v>421.07</v>
      </c>
    </row>
    <row r="346" spans="1:11" x14ac:dyDescent="0.3">
      <c r="A346" t="s">
        <v>383</v>
      </c>
      <c r="B346" s="1">
        <v>45727</v>
      </c>
      <c r="C346" t="s">
        <v>20</v>
      </c>
      <c r="D346" t="s">
        <v>21</v>
      </c>
      <c r="E346" t="s">
        <v>27</v>
      </c>
      <c r="F346" t="s">
        <v>23</v>
      </c>
      <c r="G346" t="s">
        <v>36</v>
      </c>
      <c r="H346">
        <v>3</v>
      </c>
      <c r="I346">
        <v>7102.98</v>
      </c>
      <c r="J346">
        <v>21308.94</v>
      </c>
      <c r="K346">
        <v>5297.11</v>
      </c>
    </row>
    <row r="347" spans="1:11" x14ac:dyDescent="0.3">
      <c r="A347" t="s">
        <v>384</v>
      </c>
      <c r="B347" s="1">
        <v>45870</v>
      </c>
      <c r="C347" t="s">
        <v>57</v>
      </c>
      <c r="D347" t="s">
        <v>13</v>
      </c>
      <c r="E347" t="s">
        <v>14</v>
      </c>
      <c r="F347" t="s">
        <v>15</v>
      </c>
      <c r="G347" t="s">
        <v>24</v>
      </c>
      <c r="H347">
        <v>3</v>
      </c>
      <c r="I347">
        <v>498.87</v>
      </c>
      <c r="J347">
        <v>1496.61</v>
      </c>
      <c r="K347">
        <v>536.54</v>
      </c>
    </row>
    <row r="348" spans="1:11" x14ac:dyDescent="0.3">
      <c r="A348" t="s">
        <v>385</v>
      </c>
      <c r="B348" s="1">
        <v>45674</v>
      </c>
      <c r="C348" t="s">
        <v>32</v>
      </c>
      <c r="D348" t="s">
        <v>21</v>
      </c>
      <c r="E348" t="s">
        <v>33</v>
      </c>
      <c r="F348" t="s">
        <v>23</v>
      </c>
      <c r="G348" t="s">
        <v>16</v>
      </c>
      <c r="H348">
        <v>1</v>
      </c>
      <c r="I348">
        <v>8619.61</v>
      </c>
      <c r="J348">
        <v>8619.61</v>
      </c>
      <c r="K348">
        <v>1525.74</v>
      </c>
    </row>
    <row r="349" spans="1:11" x14ac:dyDescent="0.3">
      <c r="A349" t="s">
        <v>386</v>
      </c>
      <c r="B349" s="1">
        <v>45919</v>
      </c>
      <c r="C349" t="s">
        <v>12</v>
      </c>
      <c r="D349" t="s">
        <v>13</v>
      </c>
      <c r="E349" t="s">
        <v>43</v>
      </c>
      <c r="F349" t="s">
        <v>15</v>
      </c>
      <c r="G349" t="s">
        <v>36</v>
      </c>
      <c r="H349">
        <v>2</v>
      </c>
      <c r="I349">
        <v>17164.400000000001</v>
      </c>
      <c r="J349">
        <v>34328.800000000003</v>
      </c>
      <c r="K349">
        <v>8197.4599999999991</v>
      </c>
    </row>
    <row r="350" spans="1:11" x14ac:dyDescent="0.3">
      <c r="A350" t="s">
        <v>387</v>
      </c>
      <c r="B350" s="1">
        <v>45937</v>
      </c>
      <c r="C350" t="s">
        <v>20</v>
      </c>
      <c r="D350" t="s">
        <v>21</v>
      </c>
      <c r="E350" t="s">
        <v>22</v>
      </c>
      <c r="F350" t="s">
        <v>23</v>
      </c>
      <c r="G350" t="s">
        <v>30</v>
      </c>
      <c r="H350">
        <v>5</v>
      </c>
      <c r="I350">
        <v>5983.14</v>
      </c>
      <c r="J350">
        <v>29915.7</v>
      </c>
      <c r="K350">
        <v>4911.6099999999997</v>
      </c>
    </row>
    <row r="351" spans="1:11" x14ac:dyDescent="0.3">
      <c r="A351" t="s">
        <v>388</v>
      </c>
      <c r="B351" s="1">
        <v>45888</v>
      </c>
      <c r="C351" t="s">
        <v>32</v>
      </c>
      <c r="D351" t="s">
        <v>21</v>
      </c>
      <c r="E351" t="s">
        <v>14</v>
      </c>
      <c r="F351" t="s">
        <v>15</v>
      </c>
      <c r="G351" t="s">
        <v>51</v>
      </c>
      <c r="H351">
        <v>1</v>
      </c>
      <c r="I351">
        <v>9570.11</v>
      </c>
      <c r="J351">
        <v>9570.11</v>
      </c>
      <c r="K351">
        <v>2544.14</v>
      </c>
    </row>
    <row r="352" spans="1:11" x14ac:dyDescent="0.3">
      <c r="A352" t="s">
        <v>389</v>
      </c>
      <c r="B352" s="1">
        <v>45959</v>
      </c>
      <c r="C352" t="s">
        <v>57</v>
      </c>
      <c r="D352" t="s">
        <v>13</v>
      </c>
      <c r="E352" t="s">
        <v>22</v>
      </c>
      <c r="F352" t="s">
        <v>15</v>
      </c>
      <c r="G352" t="s">
        <v>51</v>
      </c>
      <c r="H352">
        <v>1</v>
      </c>
      <c r="I352">
        <v>521.08000000000004</v>
      </c>
      <c r="J352">
        <v>521.08000000000004</v>
      </c>
      <c r="K352">
        <v>112.28</v>
      </c>
    </row>
    <row r="353" spans="1:11" x14ac:dyDescent="0.3">
      <c r="A353" t="s">
        <v>390</v>
      </c>
      <c r="B353" s="1">
        <v>45763</v>
      </c>
      <c r="C353" t="s">
        <v>18</v>
      </c>
      <c r="D353" t="s">
        <v>13</v>
      </c>
      <c r="E353" t="s">
        <v>22</v>
      </c>
      <c r="F353" t="s">
        <v>23</v>
      </c>
      <c r="G353" t="s">
        <v>24</v>
      </c>
      <c r="H353">
        <v>2</v>
      </c>
      <c r="I353">
        <v>42271.16</v>
      </c>
      <c r="J353">
        <v>84542.32</v>
      </c>
      <c r="K353">
        <v>19006.55</v>
      </c>
    </row>
    <row r="354" spans="1:11" x14ac:dyDescent="0.3">
      <c r="A354" t="s">
        <v>391</v>
      </c>
      <c r="B354" s="1">
        <v>45806</v>
      </c>
      <c r="C354" t="s">
        <v>29</v>
      </c>
      <c r="D354" t="s">
        <v>13</v>
      </c>
      <c r="E354" t="s">
        <v>14</v>
      </c>
      <c r="F354" t="s">
        <v>15</v>
      </c>
      <c r="G354" t="s">
        <v>36</v>
      </c>
      <c r="H354">
        <v>1</v>
      </c>
      <c r="I354">
        <v>12859.24</v>
      </c>
      <c r="J354">
        <v>12859.24</v>
      </c>
      <c r="K354">
        <v>1591.63</v>
      </c>
    </row>
    <row r="355" spans="1:11" x14ac:dyDescent="0.3">
      <c r="A355" t="s">
        <v>392</v>
      </c>
      <c r="B355" s="1">
        <v>45688</v>
      </c>
      <c r="C355" t="s">
        <v>32</v>
      </c>
      <c r="D355" t="s">
        <v>21</v>
      </c>
      <c r="E355" t="s">
        <v>22</v>
      </c>
      <c r="F355" t="s">
        <v>15</v>
      </c>
      <c r="G355" t="s">
        <v>24</v>
      </c>
      <c r="H355">
        <v>4</v>
      </c>
      <c r="I355">
        <v>8328.4</v>
      </c>
      <c r="J355">
        <v>33313.599999999999</v>
      </c>
      <c r="K355">
        <v>5157.6000000000004</v>
      </c>
    </row>
    <row r="356" spans="1:11" x14ac:dyDescent="0.3">
      <c r="A356" t="s">
        <v>393</v>
      </c>
      <c r="B356" s="1">
        <v>45784</v>
      </c>
      <c r="C356" t="s">
        <v>35</v>
      </c>
      <c r="D356" t="s">
        <v>13</v>
      </c>
      <c r="E356" t="s">
        <v>27</v>
      </c>
      <c r="F356" t="s">
        <v>23</v>
      </c>
      <c r="G356" t="s">
        <v>36</v>
      </c>
      <c r="H356">
        <v>1</v>
      </c>
      <c r="I356">
        <v>835.59</v>
      </c>
      <c r="J356">
        <v>835.59</v>
      </c>
      <c r="K356">
        <v>180.13</v>
      </c>
    </row>
    <row r="357" spans="1:11" x14ac:dyDescent="0.3">
      <c r="A357" t="s">
        <v>394</v>
      </c>
      <c r="B357" s="1">
        <v>45696</v>
      </c>
      <c r="C357" t="s">
        <v>35</v>
      </c>
      <c r="D357" t="s">
        <v>13</v>
      </c>
      <c r="E357" t="s">
        <v>43</v>
      </c>
      <c r="F357" t="s">
        <v>23</v>
      </c>
      <c r="G357" t="s">
        <v>36</v>
      </c>
      <c r="H357">
        <v>3</v>
      </c>
      <c r="I357">
        <v>948.4</v>
      </c>
      <c r="J357">
        <v>2845.2</v>
      </c>
      <c r="K357">
        <v>783.17</v>
      </c>
    </row>
    <row r="358" spans="1:11" x14ac:dyDescent="0.3">
      <c r="A358" t="s">
        <v>395</v>
      </c>
      <c r="B358" s="1">
        <v>45907</v>
      </c>
      <c r="C358" t="s">
        <v>117</v>
      </c>
      <c r="D358" t="s">
        <v>63</v>
      </c>
      <c r="E358" t="s">
        <v>14</v>
      </c>
      <c r="F358" t="s">
        <v>23</v>
      </c>
      <c r="G358" t="s">
        <v>24</v>
      </c>
      <c r="H358">
        <v>2</v>
      </c>
      <c r="I358">
        <v>85.9</v>
      </c>
      <c r="J358">
        <v>171.8</v>
      </c>
      <c r="K358">
        <v>27.44</v>
      </c>
    </row>
    <row r="359" spans="1:11" x14ac:dyDescent="0.3">
      <c r="A359" t="s">
        <v>396</v>
      </c>
      <c r="B359" s="1">
        <v>45690</v>
      </c>
      <c r="C359" t="s">
        <v>50</v>
      </c>
      <c r="D359" t="s">
        <v>39</v>
      </c>
      <c r="E359" t="s">
        <v>27</v>
      </c>
      <c r="F359" t="s">
        <v>23</v>
      </c>
      <c r="G359" t="s">
        <v>24</v>
      </c>
      <c r="H359">
        <v>1</v>
      </c>
      <c r="I359">
        <v>382.77</v>
      </c>
      <c r="J359">
        <v>382.77</v>
      </c>
      <c r="K359">
        <v>63.36</v>
      </c>
    </row>
    <row r="360" spans="1:11" x14ac:dyDescent="0.3">
      <c r="A360" t="s">
        <v>397</v>
      </c>
      <c r="B360" s="1">
        <v>45803</v>
      </c>
      <c r="C360" t="s">
        <v>117</v>
      </c>
      <c r="D360" t="s">
        <v>63</v>
      </c>
      <c r="E360" t="s">
        <v>43</v>
      </c>
      <c r="F360" t="s">
        <v>15</v>
      </c>
      <c r="G360" t="s">
        <v>30</v>
      </c>
      <c r="H360">
        <v>2</v>
      </c>
      <c r="I360">
        <v>74.09</v>
      </c>
      <c r="J360">
        <v>148.18</v>
      </c>
      <c r="K360">
        <v>23.47</v>
      </c>
    </row>
    <row r="361" spans="1:11" x14ac:dyDescent="0.3">
      <c r="A361" t="s">
        <v>398</v>
      </c>
      <c r="B361" s="1">
        <v>45708</v>
      </c>
      <c r="C361" t="s">
        <v>35</v>
      </c>
      <c r="D361" t="s">
        <v>13</v>
      </c>
      <c r="E361" t="s">
        <v>22</v>
      </c>
      <c r="F361" t="s">
        <v>23</v>
      </c>
      <c r="G361" t="s">
        <v>36</v>
      </c>
      <c r="H361">
        <v>3</v>
      </c>
      <c r="I361">
        <v>892.72</v>
      </c>
      <c r="J361">
        <v>2678.16</v>
      </c>
      <c r="K361">
        <v>931.19</v>
      </c>
    </row>
    <row r="362" spans="1:11" x14ac:dyDescent="0.3">
      <c r="A362" t="s">
        <v>399</v>
      </c>
      <c r="B362" s="1">
        <v>45658</v>
      </c>
      <c r="C362" t="s">
        <v>62</v>
      </c>
      <c r="D362" t="s">
        <v>63</v>
      </c>
      <c r="E362" t="s">
        <v>43</v>
      </c>
      <c r="F362" t="s">
        <v>15</v>
      </c>
      <c r="G362" t="s">
        <v>24</v>
      </c>
      <c r="H362">
        <v>1</v>
      </c>
      <c r="I362">
        <v>124.53</v>
      </c>
      <c r="J362">
        <v>124.53</v>
      </c>
      <c r="K362">
        <v>43.05</v>
      </c>
    </row>
    <row r="363" spans="1:11" x14ac:dyDescent="0.3">
      <c r="A363" t="s">
        <v>400</v>
      </c>
      <c r="B363" s="1">
        <v>45705</v>
      </c>
      <c r="C363" t="s">
        <v>35</v>
      </c>
      <c r="D363" t="s">
        <v>13</v>
      </c>
      <c r="E363" t="s">
        <v>22</v>
      </c>
      <c r="F363" t="s">
        <v>15</v>
      </c>
      <c r="G363" t="s">
        <v>36</v>
      </c>
      <c r="H363">
        <v>1</v>
      </c>
      <c r="I363">
        <v>824.84</v>
      </c>
      <c r="J363">
        <v>824.84</v>
      </c>
      <c r="K363">
        <v>170.93</v>
      </c>
    </row>
    <row r="364" spans="1:11" x14ac:dyDescent="0.3">
      <c r="A364" t="s">
        <v>401</v>
      </c>
      <c r="B364" s="1">
        <v>45978</v>
      </c>
      <c r="C364" t="s">
        <v>32</v>
      </c>
      <c r="D364" t="s">
        <v>21</v>
      </c>
      <c r="E364" t="s">
        <v>14</v>
      </c>
      <c r="F364" t="s">
        <v>15</v>
      </c>
      <c r="G364" t="s">
        <v>30</v>
      </c>
      <c r="H364">
        <v>3</v>
      </c>
      <c r="I364">
        <v>9459.42</v>
      </c>
      <c r="J364">
        <v>28378.26</v>
      </c>
      <c r="K364">
        <v>7616.72</v>
      </c>
    </row>
    <row r="365" spans="1:11" x14ac:dyDescent="0.3">
      <c r="A365" t="s">
        <v>402</v>
      </c>
      <c r="B365" s="1">
        <v>45767</v>
      </c>
      <c r="C365" t="s">
        <v>38</v>
      </c>
      <c r="D365" t="s">
        <v>39</v>
      </c>
      <c r="E365" t="s">
        <v>27</v>
      </c>
      <c r="F365" t="s">
        <v>15</v>
      </c>
      <c r="G365" t="s">
        <v>30</v>
      </c>
      <c r="H365">
        <v>1</v>
      </c>
      <c r="I365">
        <v>1222.48</v>
      </c>
      <c r="J365">
        <v>1222.48</v>
      </c>
      <c r="K365">
        <v>299.44</v>
      </c>
    </row>
    <row r="366" spans="1:11" x14ac:dyDescent="0.3">
      <c r="A366" t="s">
        <v>403</v>
      </c>
      <c r="B366" s="1">
        <v>46014</v>
      </c>
      <c r="C366" t="s">
        <v>117</v>
      </c>
      <c r="D366" t="s">
        <v>63</v>
      </c>
      <c r="E366" t="s">
        <v>22</v>
      </c>
      <c r="F366" t="s">
        <v>23</v>
      </c>
      <c r="G366" t="s">
        <v>30</v>
      </c>
      <c r="H366">
        <v>3</v>
      </c>
      <c r="I366">
        <v>87.81</v>
      </c>
      <c r="J366">
        <v>263.43</v>
      </c>
      <c r="K366">
        <v>71.180000000000007</v>
      </c>
    </row>
    <row r="367" spans="1:11" x14ac:dyDescent="0.3">
      <c r="A367" t="s">
        <v>404</v>
      </c>
      <c r="B367" s="1">
        <v>45775</v>
      </c>
      <c r="C367" t="s">
        <v>62</v>
      </c>
      <c r="D367" t="s">
        <v>63</v>
      </c>
      <c r="E367" t="s">
        <v>43</v>
      </c>
      <c r="F367" t="s">
        <v>23</v>
      </c>
      <c r="G367" t="s">
        <v>51</v>
      </c>
      <c r="H367">
        <v>1</v>
      </c>
      <c r="I367">
        <v>127.34</v>
      </c>
      <c r="J367">
        <v>127.34</v>
      </c>
      <c r="K367">
        <v>44.97</v>
      </c>
    </row>
    <row r="368" spans="1:11" x14ac:dyDescent="0.3">
      <c r="A368" t="s">
        <v>405</v>
      </c>
      <c r="B368" s="1">
        <v>45853</v>
      </c>
      <c r="C368" t="s">
        <v>26</v>
      </c>
      <c r="D368" t="s">
        <v>13</v>
      </c>
      <c r="E368" t="s">
        <v>33</v>
      </c>
      <c r="F368" t="s">
        <v>15</v>
      </c>
      <c r="G368" t="s">
        <v>16</v>
      </c>
      <c r="H368">
        <v>2</v>
      </c>
      <c r="I368">
        <v>1863.77</v>
      </c>
      <c r="J368">
        <v>3727.54</v>
      </c>
      <c r="K368">
        <v>1350.16</v>
      </c>
    </row>
    <row r="369" spans="1:11" x14ac:dyDescent="0.3">
      <c r="A369" t="s">
        <v>406</v>
      </c>
      <c r="B369" s="1">
        <v>45990</v>
      </c>
      <c r="C369" t="s">
        <v>26</v>
      </c>
      <c r="D369" t="s">
        <v>13</v>
      </c>
      <c r="E369" t="s">
        <v>22</v>
      </c>
      <c r="F369" t="s">
        <v>23</v>
      </c>
      <c r="G369" t="s">
        <v>16</v>
      </c>
      <c r="H369">
        <v>2</v>
      </c>
      <c r="I369">
        <v>1880.08</v>
      </c>
      <c r="J369">
        <v>3760.16</v>
      </c>
      <c r="K369">
        <v>814.82</v>
      </c>
    </row>
    <row r="370" spans="1:11" x14ac:dyDescent="0.3">
      <c r="A370" t="s">
        <v>407</v>
      </c>
      <c r="B370" s="1">
        <v>46009</v>
      </c>
      <c r="C370" t="s">
        <v>38</v>
      </c>
      <c r="D370" t="s">
        <v>39</v>
      </c>
      <c r="E370" t="s">
        <v>14</v>
      </c>
      <c r="F370" t="s">
        <v>23</v>
      </c>
      <c r="G370" t="s">
        <v>24</v>
      </c>
      <c r="H370">
        <v>3</v>
      </c>
      <c r="I370">
        <v>1100.81</v>
      </c>
      <c r="J370">
        <v>3302.43</v>
      </c>
      <c r="K370">
        <v>1168.6600000000001</v>
      </c>
    </row>
    <row r="371" spans="1:11" x14ac:dyDescent="0.3">
      <c r="A371" t="s">
        <v>408</v>
      </c>
      <c r="B371" s="1">
        <v>45877</v>
      </c>
      <c r="C371" t="s">
        <v>117</v>
      </c>
      <c r="D371" t="s">
        <v>63</v>
      </c>
      <c r="E371" t="s">
        <v>22</v>
      </c>
      <c r="F371" t="s">
        <v>23</v>
      </c>
      <c r="G371" t="s">
        <v>30</v>
      </c>
      <c r="H371">
        <v>3</v>
      </c>
      <c r="I371">
        <v>75.959999999999994</v>
      </c>
      <c r="J371">
        <v>227.88</v>
      </c>
      <c r="K371">
        <v>48.4</v>
      </c>
    </row>
    <row r="372" spans="1:11" x14ac:dyDescent="0.3">
      <c r="A372" t="s">
        <v>409</v>
      </c>
      <c r="B372" s="1">
        <v>45995</v>
      </c>
      <c r="C372" t="s">
        <v>32</v>
      </c>
      <c r="D372" t="s">
        <v>21</v>
      </c>
      <c r="E372" t="s">
        <v>27</v>
      </c>
      <c r="F372" t="s">
        <v>23</v>
      </c>
      <c r="G372" t="s">
        <v>30</v>
      </c>
      <c r="H372">
        <v>1</v>
      </c>
      <c r="I372">
        <v>9192.4699999999993</v>
      </c>
      <c r="J372">
        <v>9192.4699999999993</v>
      </c>
      <c r="K372">
        <v>3042.27</v>
      </c>
    </row>
    <row r="373" spans="1:11" x14ac:dyDescent="0.3">
      <c r="A373" t="s">
        <v>410</v>
      </c>
      <c r="B373" s="1">
        <v>45780</v>
      </c>
      <c r="C373" t="s">
        <v>38</v>
      </c>
      <c r="D373" t="s">
        <v>39</v>
      </c>
      <c r="E373" t="s">
        <v>14</v>
      </c>
      <c r="F373" t="s">
        <v>15</v>
      </c>
      <c r="G373" t="s">
        <v>24</v>
      </c>
      <c r="H373">
        <v>1</v>
      </c>
      <c r="I373">
        <v>1137.8599999999999</v>
      </c>
      <c r="J373">
        <v>1137.8599999999999</v>
      </c>
      <c r="K373">
        <v>243.61</v>
      </c>
    </row>
    <row r="374" spans="1:11" x14ac:dyDescent="0.3">
      <c r="A374" t="s">
        <v>411</v>
      </c>
      <c r="B374" s="1">
        <v>45820</v>
      </c>
      <c r="C374" t="s">
        <v>26</v>
      </c>
      <c r="D374" t="s">
        <v>13</v>
      </c>
      <c r="E374" t="s">
        <v>33</v>
      </c>
      <c r="F374" t="s">
        <v>15</v>
      </c>
      <c r="G374" t="s">
        <v>36</v>
      </c>
      <c r="H374">
        <v>1</v>
      </c>
      <c r="I374">
        <v>1922.03</v>
      </c>
      <c r="J374">
        <v>1922.03</v>
      </c>
      <c r="K374">
        <v>520.04999999999995</v>
      </c>
    </row>
    <row r="375" spans="1:11" x14ac:dyDescent="0.3">
      <c r="A375" t="s">
        <v>412</v>
      </c>
      <c r="B375" s="1">
        <v>45695</v>
      </c>
      <c r="C375" t="s">
        <v>18</v>
      </c>
      <c r="D375" t="s">
        <v>13</v>
      </c>
      <c r="E375" t="s">
        <v>14</v>
      </c>
      <c r="F375" t="s">
        <v>23</v>
      </c>
      <c r="G375" t="s">
        <v>16</v>
      </c>
      <c r="H375">
        <v>2</v>
      </c>
      <c r="I375">
        <v>37915.86</v>
      </c>
      <c r="J375">
        <v>75831.72</v>
      </c>
      <c r="K375">
        <v>24562.41</v>
      </c>
    </row>
    <row r="376" spans="1:11" x14ac:dyDescent="0.3">
      <c r="A376" t="s">
        <v>413</v>
      </c>
      <c r="B376" s="1">
        <v>45804</v>
      </c>
      <c r="C376" t="s">
        <v>35</v>
      </c>
      <c r="D376" t="s">
        <v>13</v>
      </c>
      <c r="E376" t="s">
        <v>27</v>
      </c>
      <c r="F376" t="s">
        <v>15</v>
      </c>
      <c r="G376" t="s">
        <v>16</v>
      </c>
      <c r="H376">
        <v>3</v>
      </c>
      <c r="I376">
        <v>948.08</v>
      </c>
      <c r="J376">
        <v>2844.24</v>
      </c>
      <c r="K376">
        <v>767.58</v>
      </c>
    </row>
    <row r="377" spans="1:11" x14ac:dyDescent="0.3">
      <c r="A377" t="s">
        <v>414</v>
      </c>
      <c r="B377" s="1">
        <v>45933</v>
      </c>
      <c r="C377" t="s">
        <v>29</v>
      </c>
      <c r="D377" t="s">
        <v>13</v>
      </c>
      <c r="E377" t="s">
        <v>22</v>
      </c>
      <c r="F377" t="s">
        <v>15</v>
      </c>
      <c r="G377" t="s">
        <v>16</v>
      </c>
      <c r="H377">
        <v>1</v>
      </c>
      <c r="I377">
        <v>11000.63</v>
      </c>
      <c r="J377">
        <v>11000.63</v>
      </c>
      <c r="K377">
        <v>3954.22</v>
      </c>
    </row>
    <row r="378" spans="1:11" x14ac:dyDescent="0.3">
      <c r="A378" t="s">
        <v>415</v>
      </c>
      <c r="B378" s="1">
        <v>45825</v>
      </c>
      <c r="C378" t="s">
        <v>62</v>
      </c>
      <c r="D378" t="s">
        <v>63</v>
      </c>
      <c r="E378" t="s">
        <v>14</v>
      </c>
      <c r="F378" t="s">
        <v>23</v>
      </c>
      <c r="G378" t="s">
        <v>36</v>
      </c>
      <c r="H378">
        <v>2</v>
      </c>
      <c r="I378">
        <v>126.32</v>
      </c>
      <c r="J378">
        <v>252.64</v>
      </c>
      <c r="K378">
        <v>53.32</v>
      </c>
    </row>
    <row r="379" spans="1:11" x14ac:dyDescent="0.3">
      <c r="A379" t="s">
        <v>416</v>
      </c>
      <c r="B379" s="1">
        <v>45780</v>
      </c>
      <c r="C379" t="s">
        <v>18</v>
      </c>
      <c r="D379" t="s">
        <v>13</v>
      </c>
      <c r="E379" t="s">
        <v>33</v>
      </c>
      <c r="F379" t="s">
        <v>15</v>
      </c>
      <c r="G379" t="s">
        <v>24</v>
      </c>
      <c r="H379">
        <v>1</v>
      </c>
      <c r="I379">
        <v>45566.87</v>
      </c>
      <c r="J379">
        <v>45566.87</v>
      </c>
      <c r="K379">
        <v>15941.27</v>
      </c>
    </row>
    <row r="380" spans="1:11" x14ac:dyDescent="0.3">
      <c r="A380" t="s">
        <v>417</v>
      </c>
      <c r="B380" s="1">
        <v>45999</v>
      </c>
      <c r="C380" t="s">
        <v>57</v>
      </c>
      <c r="D380" t="s">
        <v>13</v>
      </c>
      <c r="E380" t="s">
        <v>22</v>
      </c>
      <c r="F380" t="s">
        <v>15</v>
      </c>
      <c r="G380" t="s">
        <v>51</v>
      </c>
      <c r="H380">
        <v>2</v>
      </c>
      <c r="I380">
        <v>467.56</v>
      </c>
      <c r="J380">
        <v>935.12</v>
      </c>
      <c r="K380">
        <v>352.27</v>
      </c>
    </row>
    <row r="381" spans="1:11" x14ac:dyDescent="0.3">
      <c r="A381" t="s">
        <v>418</v>
      </c>
      <c r="B381" s="1">
        <v>45912</v>
      </c>
      <c r="C381" t="s">
        <v>117</v>
      </c>
      <c r="D381" t="s">
        <v>63</v>
      </c>
      <c r="E381" t="s">
        <v>22</v>
      </c>
      <c r="F381" t="s">
        <v>23</v>
      </c>
      <c r="G381" t="s">
        <v>51</v>
      </c>
      <c r="H381">
        <v>2</v>
      </c>
      <c r="I381">
        <v>84.53</v>
      </c>
      <c r="J381">
        <v>169.06</v>
      </c>
      <c r="K381">
        <v>32.56</v>
      </c>
    </row>
    <row r="382" spans="1:11" x14ac:dyDescent="0.3">
      <c r="A382" t="s">
        <v>419</v>
      </c>
      <c r="B382" s="1">
        <v>45795</v>
      </c>
      <c r="C382" t="s">
        <v>57</v>
      </c>
      <c r="D382" t="s">
        <v>13</v>
      </c>
      <c r="E382" t="s">
        <v>27</v>
      </c>
      <c r="F382" t="s">
        <v>23</v>
      </c>
      <c r="G382" t="s">
        <v>16</v>
      </c>
      <c r="H382">
        <v>4</v>
      </c>
      <c r="I382">
        <v>527.14</v>
      </c>
      <c r="J382">
        <v>2108.56</v>
      </c>
      <c r="K382">
        <v>785.16</v>
      </c>
    </row>
    <row r="383" spans="1:11" x14ac:dyDescent="0.3">
      <c r="A383" t="s">
        <v>420</v>
      </c>
      <c r="B383" s="1">
        <v>45690</v>
      </c>
      <c r="C383" t="s">
        <v>32</v>
      </c>
      <c r="D383" t="s">
        <v>21</v>
      </c>
      <c r="E383" t="s">
        <v>27</v>
      </c>
      <c r="F383" t="s">
        <v>23</v>
      </c>
      <c r="G383" t="s">
        <v>30</v>
      </c>
      <c r="H383">
        <v>3</v>
      </c>
      <c r="I383">
        <v>9137.9699999999993</v>
      </c>
      <c r="J383">
        <v>27413.91</v>
      </c>
      <c r="K383">
        <v>9867.9599999999991</v>
      </c>
    </row>
    <row r="384" spans="1:11" x14ac:dyDescent="0.3">
      <c r="A384" t="s">
        <v>421</v>
      </c>
      <c r="B384" s="1">
        <v>45913</v>
      </c>
      <c r="C384" t="s">
        <v>29</v>
      </c>
      <c r="D384" t="s">
        <v>13</v>
      </c>
      <c r="E384" t="s">
        <v>33</v>
      </c>
      <c r="F384" t="s">
        <v>15</v>
      </c>
      <c r="G384" t="s">
        <v>51</v>
      </c>
      <c r="H384">
        <v>1</v>
      </c>
      <c r="I384">
        <v>11177.54</v>
      </c>
      <c r="J384">
        <v>11177.54</v>
      </c>
      <c r="K384">
        <v>2000.05</v>
      </c>
    </row>
    <row r="385" spans="1:11" x14ac:dyDescent="0.3">
      <c r="A385" t="s">
        <v>422</v>
      </c>
      <c r="B385" s="1">
        <v>45918</v>
      </c>
      <c r="C385" t="s">
        <v>18</v>
      </c>
      <c r="D385" t="s">
        <v>13</v>
      </c>
      <c r="E385" t="s">
        <v>27</v>
      </c>
      <c r="F385" t="s">
        <v>23</v>
      </c>
      <c r="G385" t="s">
        <v>36</v>
      </c>
      <c r="H385">
        <v>1</v>
      </c>
      <c r="I385">
        <v>45048.6</v>
      </c>
      <c r="J385">
        <v>45048.6</v>
      </c>
      <c r="K385">
        <v>14254.13</v>
      </c>
    </row>
    <row r="386" spans="1:11" x14ac:dyDescent="0.3">
      <c r="A386" t="s">
        <v>423</v>
      </c>
      <c r="B386" s="1">
        <v>45734</v>
      </c>
      <c r="C386" t="s">
        <v>26</v>
      </c>
      <c r="D386" t="s">
        <v>13</v>
      </c>
      <c r="E386" t="s">
        <v>27</v>
      </c>
      <c r="F386" t="s">
        <v>15</v>
      </c>
      <c r="G386" t="s">
        <v>24</v>
      </c>
      <c r="H386">
        <v>4</v>
      </c>
      <c r="I386">
        <v>1928.69</v>
      </c>
      <c r="J386">
        <v>7714.76</v>
      </c>
      <c r="K386">
        <v>1822.65</v>
      </c>
    </row>
    <row r="387" spans="1:11" x14ac:dyDescent="0.3">
      <c r="A387" t="s">
        <v>424</v>
      </c>
      <c r="B387" s="1">
        <v>45785</v>
      </c>
      <c r="C387" t="s">
        <v>62</v>
      </c>
      <c r="D387" t="s">
        <v>63</v>
      </c>
      <c r="E387" t="s">
        <v>33</v>
      </c>
      <c r="F387" t="s">
        <v>23</v>
      </c>
      <c r="G387" t="s">
        <v>30</v>
      </c>
      <c r="H387">
        <v>4</v>
      </c>
      <c r="I387">
        <v>115.68</v>
      </c>
      <c r="J387">
        <v>462.72</v>
      </c>
      <c r="K387">
        <v>76.459999999999994</v>
      </c>
    </row>
    <row r="388" spans="1:11" x14ac:dyDescent="0.3">
      <c r="A388" t="s">
        <v>425</v>
      </c>
      <c r="B388" s="1">
        <v>45915</v>
      </c>
      <c r="C388" t="s">
        <v>35</v>
      </c>
      <c r="D388" t="s">
        <v>13</v>
      </c>
      <c r="E388" t="s">
        <v>14</v>
      </c>
      <c r="F388" t="s">
        <v>23</v>
      </c>
      <c r="G388" t="s">
        <v>30</v>
      </c>
      <c r="H388">
        <v>4</v>
      </c>
      <c r="I388">
        <v>842.28</v>
      </c>
      <c r="J388">
        <v>3369.12</v>
      </c>
      <c r="K388">
        <v>575.69000000000005</v>
      </c>
    </row>
    <row r="389" spans="1:11" x14ac:dyDescent="0.3">
      <c r="A389" t="s">
        <v>426</v>
      </c>
      <c r="B389" s="1">
        <v>45896</v>
      </c>
      <c r="C389" t="s">
        <v>32</v>
      </c>
      <c r="D389" t="s">
        <v>21</v>
      </c>
      <c r="E389" t="s">
        <v>27</v>
      </c>
      <c r="F389" t="s">
        <v>15</v>
      </c>
      <c r="G389" t="s">
        <v>24</v>
      </c>
      <c r="H389">
        <v>3</v>
      </c>
      <c r="I389">
        <v>8659.26</v>
      </c>
      <c r="J389">
        <v>25977.78</v>
      </c>
      <c r="K389">
        <v>9288.09</v>
      </c>
    </row>
    <row r="390" spans="1:11" x14ac:dyDescent="0.3">
      <c r="A390" t="s">
        <v>427</v>
      </c>
      <c r="B390" s="1">
        <v>45760</v>
      </c>
      <c r="C390" t="s">
        <v>32</v>
      </c>
      <c r="D390" t="s">
        <v>21</v>
      </c>
      <c r="E390" t="s">
        <v>27</v>
      </c>
      <c r="F390" t="s">
        <v>23</v>
      </c>
      <c r="G390" t="s">
        <v>16</v>
      </c>
      <c r="H390">
        <v>2</v>
      </c>
      <c r="I390">
        <v>8647.0400000000009</v>
      </c>
      <c r="J390">
        <v>17294.080000000002</v>
      </c>
      <c r="K390">
        <v>3771.73</v>
      </c>
    </row>
    <row r="391" spans="1:11" x14ac:dyDescent="0.3">
      <c r="A391" t="s">
        <v>428</v>
      </c>
      <c r="B391" s="1">
        <v>45910</v>
      </c>
      <c r="C391" t="s">
        <v>20</v>
      </c>
      <c r="D391" t="s">
        <v>21</v>
      </c>
      <c r="E391" t="s">
        <v>22</v>
      </c>
      <c r="F391" t="s">
        <v>15</v>
      </c>
      <c r="G391" t="s">
        <v>36</v>
      </c>
      <c r="H391">
        <v>3</v>
      </c>
      <c r="I391">
        <v>6560.53</v>
      </c>
      <c r="J391">
        <v>19681.59</v>
      </c>
      <c r="K391">
        <v>3405.84</v>
      </c>
    </row>
    <row r="392" spans="1:11" x14ac:dyDescent="0.3">
      <c r="A392" t="s">
        <v>429</v>
      </c>
      <c r="B392" s="1">
        <v>45670</v>
      </c>
      <c r="C392" t="s">
        <v>20</v>
      </c>
      <c r="D392" t="s">
        <v>21</v>
      </c>
      <c r="E392" t="s">
        <v>14</v>
      </c>
      <c r="F392" t="s">
        <v>23</v>
      </c>
      <c r="G392" t="s">
        <v>30</v>
      </c>
      <c r="H392">
        <v>2</v>
      </c>
      <c r="I392">
        <v>6676.72</v>
      </c>
      <c r="J392">
        <v>13353.44</v>
      </c>
      <c r="K392">
        <v>2666.68</v>
      </c>
    </row>
    <row r="393" spans="1:11" x14ac:dyDescent="0.3">
      <c r="A393" t="s">
        <v>430</v>
      </c>
      <c r="B393" s="1">
        <v>45994</v>
      </c>
      <c r="C393" t="s">
        <v>62</v>
      </c>
      <c r="D393" t="s">
        <v>63</v>
      </c>
      <c r="E393" t="s">
        <v>33</v>
      </c>
      <c r="F393" t="s">
        <v>15</v>
      </c>
      <c r="G393" t="s">
        <v>36</v>
      </c>
      <c r="H393">
        <v>3</v>
      </c>
      <c r="I393">
        <v>125.45</v>
      </c>
      <c r="J393">
        <v>376.35</v>
      </c>
      <c r="K393">
        <v>132.84</v>
      </c>
    </row>
    <row r="394" spans="1:11" x14ac:dyDescent="0.3">
      <c r="A394" t="s">
        <v>431</v>
      </c>
      <c r="B394" s="1">
        <v>45909</v>
      </c>
      <c r="C394" t="s">
        <v>18</v>
      </c>
      <c r="D394" t="s">
        <v>13</v>
      </c>
      <c r="E394" t="s">
        <v>14</v>
      </c>
      <c r="F394" t="s">
        <v>15</v>
      </c>
      <c r="G394" t="s">
        <v>16</v>
      </c>
      <c r="H394">
        <v>5</v>
      </c>
      <c r="I394">
        <v>38995.94</v>
      </c>
      <c r="J394">
        <v>194979.7</v>
      </c>
      <c r="K394">
        <v>59906.62</v>
      </c>
    </row>
    <row r="395" spans="1:11" x14ac:dyDescent="0.3">
      <c r="A395" t="s">
        <v>432</v>
      </c>
      <c r="B395" s="1">
        <v>45869</v>
      </c>
      <c r="C395" t="s">
        <v>57</v>
      </c>
      <c r="D395" t="s">
        <v>13</v>
      </c>
      <c r="E395" t="s">
        <v>33</v>
      </c>
      <c r="F395" t="s">
        <v>15</v>
      </c>
      <c r="G395" t="s">
        <v>16</v>
      </c>
      <c r="H395">
        <v>4</v>
      </c>
      <c r="I395">
        <v>495.85</v>
      </c>
      <c r="J395">
        <v>1983.4</v>
      </c>
      <c r="K395">
        <v>368.01</v>
      </c>
    </row>
    <row r="396" spans="1:11" x14ac:dyDescent="0.3">
      <c r="A396" t="s">
        <v>433</v>
      </c>
      <c r="B396" s="1">
        <v>45726</v>
      </c>
      <c r="C396" t="s">
        <v>35</v>
      </c>
      <c r="D396" t="s">
        <v>13</v>
      </c>
      <c r="E396" t="s">
        <v>27</v>
      </c>
      <c r="F396" t="s">
        <v>15</v>
      </c>
      <c r="G396" t="s">
        <v>51</v>
      </c>
      <c r="H396">
        <v>3</v>
      </c>
      <c r="I396">
        <v>823.47</v>
      </c>
      <c r="J396">
        <v>2470.41</v>
      </c>
      <c r="K396">
        <v>574.04</v>
      </c>
    </row>
    <row r="397" spans="1:11" x14ac:dyDescent="0.3">
      <c r="A397" t="s">
        <v>434</v>
      </c>
      <c r="B397" s="1">
        <v>45807</v>
      </c>
      <c r="C397" t="s">
        <v>32</v>
      </c>
      <c r="D397" t="s">
        <v>21</v>
      </c>
      <c r="E397" t="s">
        <v>43</v>
      </c>
      <c r="F397" t="s">
        <v>23</v>
      </c>
      <c r="G397" t="s">
        <v>36</v>
      </c>
      <c r="H397">
        <v>3</v>
      </c>
      <c r="I397">
        <v>9766.8799999999992</v>
      </c>
      <c r="J397">
        <v>29300.639999999999</v>
      </c>
      <c r="K397">
        <v>8140.66</v>
      </c>
    </row>
    <row r="398" spans="1:11" x14ac:dyDescent="0.3">
      <c r="A398" t="s">
        <v>435</v>
      </c>
      <c r="B398" s="1">
        <v>45797</v>
      </c>
      <c r="C398" t="s">
        <v>20</v>
      </c>
      <c r="D398" t="s">
        <v>21</v>
      </c>
      <c r="E398" t="s">
        <v>33</v>
      </c>
      <c r="F398" t="s">
        <v>15</v>
      </c>
      <c r="G398" t="s">
        <v>51</v>
      </c>
      <c r="H398">
        <v>1</v>
      </c>
      <c r="I398">
        <v>6113.53</v>
      </c>
      <c r="J398">
        <v>6113.53</v>
      </c>
      <c r="K398">
        <v>1083.42</v>
      </c>
    </row>
    <row r="399" spans="1:11" x14ac:dyDescent="0.3">
      <c r="A399" t="s">
        <v>436</v>
      </c>
      <c r="B399" s="1">
        <v>45712</v>
      </c>
      <c r="C399" t="s">
        <v>26</v>
      </c>
      <c r="D399" t="s">
        <v>13</v>
      </c>
      <c r="E399" t="s">
        <v>43</v>
      </c>
      <c r="F399" t="s">
        <v>15</v>
      </c>
      <c r="G399" t="s">
        <v>36</v>
      </c>
      <c r="H399">
        <v>2</v>
      </c>
      <c r="I399">
        <v>1733.05</v>
      </c>
      <c r="J399">
        <v>3466.1</v>
      </c>
      <c r="K399">
        <v>1208.31</v>
      </c>
    </row>
    <row r="400" spans="1:11" x14ac:dyDescent="0.3">
      <c r="A400" t="s">
        <v>437</v>
      </c>
      <c r="B400" s="1">
        <v>45815</v>
      </c>
      <c r="C400" t="s">
        <v>38</v>
      </c>
      <c r="D400" t="s">
        <v>39</v>
      </c>
      <c r="E400" t="s">
        <v>43</v>
      </c>
      <c r="F400" t="s">
        <v>15</v>
      </c>
      <c r="G400" t="s">
        <v>51</v>
      </c>
      <c r="H400">
        <v>1</v>
      </c>
      <c r="I400">
        <v>1108.78</v>
      </c>
      <c r="J400">
        <v>1108.78</v>
      </c>
      <c r="K400">
        <v>375.9</v>
      </c>
    </row>
    <row r="401" spans="1:11" x14ac:dyDescent="0.3">
      <c r="A401" t="s">
        <v>438</v>
      </c>
      <c r="B401" s="1">
        <v>45825</v>
      </c>
      <c r="C401" t="s">
        <v>26</v>
      </c>
      <c r="D401" t="s">
        <v>13</v>
      </c>
      <c r="E401" t="s">
        <v>33</v>
      </c>
      <c r="F401" t="s">
        <v>15</v>
      </c>
      <c r="G401" t="s">
        <v>24</v>
      </c>
      <c r="H401">
        <v>1</v>
      </c>
      <c r="I401">
        <v>1709.36</v>
      </c>
      <c r="J401">
        <v>1709.36</v>
      </c>
      <c r="K401">
        <v>491.45</v>
      </c>
    </row>
    <row r="402" spans="1:11" x14ac:dyDescent="0.3">
      <c r="A402" t="s">
        <v>439</v>
      </c>
      <c r="B402" s="1">
        <v>45791</v>
      </c>
      <c r="C402" t="s">
        <v>26</v>
      </c>
      <c r="D402" t="s">
        <v>13</v>
      </c>
      <c r="E402" t="s">
        <v>33</v>
      </c>
      <c r="F402" t="s">
        <v>15</v>
      </c>
      <c r="G402" t="s">
        <v>30</v>
      </c>
      <c r="H402">
        <v>1</v>
      </c>
      <c r="I402">
        <v>1765.58</v>
      </c>
      <c r="J402">
        <v>1765.58</v>
      </c>
      <c r="K402">
        <v>463.34</v>
      </c>
    </row>
    <row r="403" spans="1:11" x14ac:dyDescent="0.3">
      <c r="A403" t="s">
        <v>440</v>
      </c>
      <c r="B403" s="1">
        <v>45894</v>
      </c>
      <c r="C403" t="s">
        <v>12</v>
      </c>
      <c r="D403" t="s">
        <v>13</v>
      </c>
      <c r="E403" t="s">
        <v>22</v>
      </c>
      <c r="F403" t="s">
        <v>15</v>
      </c>
      <c r="G403" t="s">
        <v>51</v>
      </c>
      <c r="H403">
        <v>3</v>
      </c>
      <c r="I403">
        <v>16703.25</v>
      </c>
      <c r="J403">
        <v>50109.75</v>
      </c>
      <c r="K403">
        <v>18885.919999999998</v>
      </c>
    </row>
    <row r="404" spans="1:11" x14ac:dyDescent="0.3">
      <c r="A404" t="s">
        <v>441</v>
      </c>
      <c r="B404" s="1">
        <v>45863</v>
      </c>
      <c r="C404" t="s">
        <v>117</v>
      </c>
      <c r="D404" t="s">
        <v>63</v>
      </c>
      <c r="E404" t="s">
        <v>33</v>
      </c>
      <c r="F404" t="s">
        <v>23</v>
      </c>
      <c r="G404" t="s">
        <v>30</v>
      </c>
      <c r="H404">
        <v>2</v>
      </c>
      <c r="I404">
        <v>87</v>
      </c>
      <c r="J404">
        <v>174</v>
      </c>
      <c r="K404">
        <v>62.32</v>
      </c>
    </row>
    <row r="405" spans="1:11" x14ac:dyDescent="0.3">
      <c r="A405" t="s">
        <v>442</v>
      </c>
      <c r="B405" s="1">
        <v>45669</v>
      </c>
      <c r="C405" t="s">
        <v>12</v>
      </c>
      <c r="D405" t="s">
        <v>13</v>
      </c>
      <c r="E405" t="s">
        <v>14</v>
      </c>
      <c r="F405" t="s">
        <v>23</v>
      </c>
      <c r="G405" t="s">
        <v>30</v>
      </c>
      <c r="H405">
        <v>1</v>
      </c>
      <c r="I405">
        <v>18525.55</v>
      </c>
      <c r="J405">
        <v>18525.55</v>
      </c>
      <c r="K405">
        <v>3141.61</v>
      </c>
    </row>
    <row r="406" spans="1:11" x14ac:dyDescent="0.3">
      <c r="A406" t="s">
        <v>443</v>
      </c>
      <c r="B406" s="1">
        <v>45679</v>
      </c>
      <c r="C406" t="s">
        <v>38</v>
      </c>
      <c r="D406" t="s">
        <v>39</v>
      </c>
      <c r="E406" t="s">
        <v>27</v>
      </c>
      <c r="F406" t="s">
        <v>23</v>
      </c>
      <c r="G406" t="s">
        <v>30</v>
      </c>
      <c r="H406">
        <v>1</v>
      </c>
      <c r="I406">
        <v>1301.79</v>
      </c>
      <c r="J406">
        <v>1301.79</v>
      </c>
      <c r="K406">
        <v>348.07</v>
      </c>
    </row>
    <row r="407" spans="1:11" x14ac:dyDescent="0.3">
      <c r="A407" t="s">
        <v>444</v>
      </c>
      <c r="B407" s="1">
        <v>45853</v>
      </c>
      <c r="C407" t="s">
        <v>35</v>
      </c>
      <c r="D407" t="s">
        <v>13</v>
      </c>
      <c r="E407" t="s">
        <v>43</v>
      </c>
      <c r="F407" t="s">
        <v>23</v>
      </c>
      <c r="G407" t="s">
        <v>36</v>
      </c>
      <c r="H407">
        <v>2</v>
      </c>
      <c r="I407">
        <v>873.71</v>
      </c>
      <c r="J407">
        <v>1747.42</v>
      </c>
      <c r="K407">
        <v>251.35</v>
      </c>
    </row>
    <row r="408" spans="1:11" x14ac:dyDescent="0.3">
      <c r="A408" t="s">
        <v>445</v>
      </c>
      <c r="B408" s="1">
        <v>45734</v>
      </c>
      <c r="C408" t="s">
        <v>18</v>
      </c>
      <c r="D408" t="s">
        <v>13</v>
      </c>
      <c r="E408" t="s">
        <v>27</v>
      </c>
      <c r="F408" t="s">
        <v>23</v>
      </c>
      <c r="G408" t="s">
        <v>16</v>
      </c>
      <c r="H408">
        <v>2</v>
      </c>
      <c r="I408">
        <v>42982.61</v>
      </c>
      <c r="J408">
        <v>85965.22</v>
      </c>
      <c r="K408">
        <v>18199.490000000002</v>
      </c>
    </row>
    <row r="409" spans="1:11" x14ac:dyDescent="0.3">
      <c r="A409" t="s">
        <v>446</v>
      </c>
      <c r="B409" s="1">
        <v>45903</v>
      </c>
      <c r="C409" t="s">
        <v>18</v>
      </c>
      <c r="D409" t="s">
        <v>13</v>
      </c>
      <c r="E409" t="s">
        <v>33</v>
      </c>
      <c r="F409" t="s">
        <v>15</v>
      </c>
      <c r="G409" t="s">
        <v>16</v>
      </c>
      <c r="H409">
        <v>1</v>
      </c>
      <c r="I409">
        <v>41017.33</v>
      </c>
      <c r="J409">
        <v>41017.33</v>
      </c>
      <c r="K409">
        <v>11115.65</v>
      </c>
    </row>
    <row r="410" spans="1:11" x14ac:dyDescent="0.3">
      <c r="A410" t="s">
        <v>447</v>
      </c>
      <c r="B410" s="1">
        <v>45667</v>
      </c>
      <c r="C410" t="s">
        <v>62</v>
      </c>
      <c r="D410" t="s">
        <v>63</v>
      </c>
      <c r="E410" t="s">
        <v>27</v>
      </c>
      <c r="F410" t="s">
        <v>23</v>
      </c>
      <c r="G410" t="s">
        <v>16</v>
      </c>
      <c r="H410">
        <v>3</v>
      </c>
      <c r="I410">
        <v>116.62</v>
      </c>
      <c r="J410">
        <v>349.86</v>
      </c>
      <c r="K410">
        <v>83.42</v>
      </c>
    </row>
    <row r="411" spans="1:11" x14ac:dyDescent="0.3">
      <c r="A411" t="s">
        <v>448</v>
      </c>
      <c r="B411" s="1">
        <v>45915</v>
      </c>
      <c r="C411" t="s">
        <v>117</v>
      </c>
      <c r="D411" t="s">
        <v>63</v>
      </c>
      <c r="E411" t="s">
        <v>22</v>
      </c>
      <c r="F411" t="s">
        <v>15</v>
      </c>
      <c r="G411" t="s">
        <v>24</v>
      </c>
      <c r="H411">
        <v>1</v>
      </c>
      <c r="I411">
        <v>74.88</v>
      </c>
      <c r="J411">
        <v>74.88</v>
      </c>
      <c r="K411">
        <v>22.25</v>
      </c>
    </row>
    <row r="412" spans="1:11" x14ac:dyDescent="0.3">
      <c r="A412" t="s">
        <v>449</v>
      </c>
      <c r="B412" s="1">
        <v>45687</v>
      </c>
      <c r="C412" t="s">
        <v>38</v>
      </c>
      <c r="D412" t="s">
        <v>39</v>
      </c>
      <c r="E412" t="s">
        <v>22</v>
      </c>
      <c r="F412" t="s">
        <v>15</v>
      </c>
      <c r="G412" t="s">
        <v>51</v>
      </c>
      <c r="H412">
        <v>2</v>
      </c>
      <c r="I412">
        <v>1264.04</v>
      </c>
      <c r="J412">
        <v>2528.08</v>
      </c>
      <c r="K412">
        <v>303.63</v>
      </c>
    </row>
    <row r="413" spans="1:11" x14ac:dyDescent="0.3">
      <c r="A413" t="s">
        <v>450</v>
      </c>
      <c r="B413" s="1">
        <v>45994</v>
      </c>
      <c r="C413" t="s">
        <v>20</v>
      </c>
      <c r="D413" t="s">
        <v>21</v>
      </c>
      <c r="E413" t="s">
        <v>14</v>
      </c>
      <c r="F413" t="s">
        <v>15</v>
      </c>
      <c r="G413" t="s">
        <v>16</v>
      </c>
      <c r="H413">
        <v>1</v>
      </c>
      <c r="I413">
        <v>6911.17</v>
      </c>
      <c r="J413">
        <v>6911.17</v>
      </c>
      <c r="K413">
        <v>978.02</v>
      </c>
    </row>
    <row r="414" spans="1:11" x14ac:dyDescent="0.3">
      <c r="A414" t="s">
        <v>451</v>
      </c>
      <c r="B414" s="1">
        <v>45856</v>
      </c>
      <c r="C414" t="s">
        <v>117</v>
      </c>
      <c r="D414" t="s">
        <v>63</v>
      </c>
      <c r="E414" t="s">
        <v>22</v>
      </c>
      <c r="F414" t="s">
        <v>23</v>
      </c>
      <c r="G414" t="s">
        <v>24</v>
      </c>
      <c r="H414">
        <v>4</v>
      </c>
      <c r="I414">
        <v>87.86</v>
      </c>
      <c r="J414">
        <v>351.44</v>
      </c>
      <c r="K414">
        <v>117.67</v>
      </c>
    </row>
    <row r="415" spans="1:11" x14ac:dyDescent="0.3">
      <c r="A415" t="s">
        <v>452</v>
      </c>
      <c r="B415" s="1">
        <v>45960</v>
      </c>
      <c r="C415" t="s">
        <v>18</v>
      </c>
      <c r="D415" t="s">
        <v>13</v>
      </c>
      <c r="E415" t="s">
        <v>22</v>
      </c>
      <c r="F415" t="s">
        <v>15</v>
      </c>
      <c r="G415" t="s">
        <v>36</v>
      </c>
      <c r="H415">
        <v>3</v>
      </c>
      <c r="I415">
        <v>40754.129999999997</v>
      </c>
      <c r="J415">
        <v>122262.39</v>
      </c>
      <c r="K415">
        <v>28415.08</v>
      </c>
    </row>
    <row r="416" spans="1:11" x14ac:dyDescent="0.3">
      <c r="A416" t="s">
        <v>453</v>
      </c>
      <c r="B416" s="1">
        <v>45935</v>
      </c>
      <c r="C416" t="s">
        <v>32</v>
      </c>
      <c r="D416" t="s">
        <v>21</v>
      </c>
      <c r="E416" t="s">
        <v>33</v>
      </c>
      <c r="F416" t="s">
        <v>15</v>
      </c>
      <c r="G416" t="s">
        <v>30</v>
      </c>
      <c r="H416">
        <v>1</v>
      </c>
      <c r="I416">
        <v>8168.33</v>
      </c>
      <c r="J416">
        <v>8168.33</v>
      </c>
      <c r="K416">
        <v>2984.68</v>
      </c>
    </row>
    <row r="417" spans="1:11" x14ac:dyDescent="0.3">
      <c r="A417" t="s">
        <v>454</v>
      </c>
      <c r="B417" s="1">
        <v>45927</v>
      </c>
      <c r="C417" t="s">
        <v>38</v>
      </c>
      <c r="D417" t="s">
        <v>39</v>
      </c>
      <c r="E417" t="s">
        <v>22</v>
      </c>
      <c r="F417" t="s">
        <v>23</v>
      </c>
      <c r="G417" t="s">
        <v>51</v>
      </c>
      <c r="H417">
        <v>1</v>
      </c>
      <c r="I417">
        <v>1300.3</v>
      </c>
      <c r="J417">
        <v>1300.3</v>
      </c>
      <c r="K417">
        <v>426</v>
      </c>
    </row>
    <row r="418" spans="1:11" x14ac:dyDescent="0.3">
      <c r="A418" t="s">
        <v>455</v>
      </c>
      <c r="B418" s="1">
        <v>45823</v>
      </c>
      <c r="C418" t="s">
        <v>18</v>
      </c>
      <c r="D418" t="s">
        <v>13</v>
      </c>
      <c r="E418" t="s">
        <v>14</v>
      </c>
      <c r="F418" t="s">
        <v>23</v>
      </c>
      <c r="G418" t="s">
        <v>30</v>
      </c>
      <c r="H418">
        <v>1</v>
      </c>
      <c r="I418">
        <v>42727.519999999997</v>
      </c>
      <c r="J418">
        <v>42727.519999999997</v>
      </c>
      <c r="K418">
        <v>6046.87</v>
      </c>
    </row>
    <row r="419" spans="1:11" x14ac:dyDescent="0.3">
      <c r="A419" t="s">
        <v>456</v>
      </c>
      <c r="B419" s="1">
        <v>45849</v>
      </c>
      <c r="C419" t="s">
        <v>57</v>
      </c>
      <c r="D419" t="s">
        <v>13</v>
      </c>
      <c r="E419" t="s">
        <v>43</v>
      </c>
      <c r="F419" t="s">
        <v>23</v>
      </c>
      <c r="G419" t="s">
        <v>51</v>
      </c>
      <c r="H419">
        <v>4</v>
      </c>
      <c r="I419">
        <v>489.56</v>
      </c>
      <c r="J419">
        <v>1958.24</v>
      </c>
      <c r="K419">
        <v>692.69</v>
      </c>
    </row>
    <row r="420" spans="1:11" x14ac:dyDescent="0.3">
      <c r="A420" t="s">
        <v>457</v>
      </c>
      <c r="B420" s="1">
        <v>45738</v>
      </c>
      <c r="C420" t="s">
        <v>57</v>
      </c>
      <c r="D420" t="s">
        <v>13</v>
      </c>
      <c r="E420" t="s">
        <v>43</v>
      </c>
      <c r="F420" t="s">
        <v>15</v>
      </c>
      <c r="G420" t="s">
        <v>16</v>
      </c>
      <c r="H420">
        <v>4</v>
      </c>
      <c r="I420">
        <v>529.17999999999995</v>
      </c>
      <c r="J420">
        <v>2116.7199999999998</v>
      </c>
      <c r="K420">
        <v>275.66000000000003</v>
      </c>
    </row>
    <row r="421" spans="1:11" x14ac:dyDescent="0.3">
      <c r="A421" t="s">
        <v>458</v>
      </c>
      <c r="B421" s="1">
        <v>46013</v>
      </c>
      <c r="C421" t="s">
        <v>29</v>
      </c>
      <c r="D421" t="s">
        <v>13</v>
      </c>
      <c r="E421" t="s">
        <v>22</v>
      </c>
      <c r="F421" t="s">
        <v>23</v>
      </c>
      <c r="G421" t="s">
        <v>24</v>
      </c>
      <c r="H421">
        <v>3</v>
      </c>
      <c r="I421">
        <v>11335.77</v>
      </c>
      <c r="J421">
        <v>34007.31</v>
      </c>
      <c r="K421">
        <v>7715.34</v>
      </c>
    </row>
    <row r="422" spans="1:11" x14ac:dyDescent="0.3">
      <c r="A422" t="s">
        <v>459</v>
      </c>
      <c r="B422" s="1">
        <v>46010</v>
      </c>
      <c r="C422" t="s">
        <v>32</v>
      </c>
      <c r="D422" t="s">
        <v>21</v>
      </c>
      <c r="E422" t="s">
        <v>33</v>
      </c>
      <c r="F422" t="s">
        <v>23</v>
      </c>
      <c r="G422" t="s">
        <v>16</v>
      </c>
      <c r="H422">
        <v>1</v>
      </c>
      <c r="I422">
        <v>9411.9</v>
      </c>
      <c r="J422">
        <v>9411.9</v>
      </c>
      <c r="K422">
        <v>1254.75</v>
      </c>
    </row>
    <row r="423" spans="1:11" x14ac:dyDescent="0.3">
      <c r="A423" t="s">
        <v>460</v>
      </c>
      <c r="B423" s="1">
        <v>45674</v>
      </c>
      <c r="C423" t="s">
        <v>26</v>
      </c>
      <c r="D423" t="s">
        <v>13</v>
      </c>
      <c r="E423" t="s">
        <v>22</v>
      </c>
      <c r="F423" t="s">
        <v>15</v>
      </c>
      <c r="G423" t="s">
        <v>36</v>
      </c>
      <c r="H423">
        <v>2</v>
      </c>
      <c r="I423">
        <v>1951.57</v>
      </c>
      <c r="J423">
        <v>3903.14</v>
      </c>
      <c r="K423">
        <v>501.33</v>
      </c>
    </row>
    <row r="424" spans="1:11" x14ac:dyDescent="0.3">
      <c r="A424" t="s">
        <v>461</v>
      </c>
      <c r="B424" s="1">
        <v>45730</v>
      </c>
      <c r="C424" t="s">
        <v>117</v>
      </c>
      <c r="D424" t="s">
        <v>63</v>
      </c>
      <c r="E424" t="s">
        <v>22</v>
      </c>
      <c r="F424" t="s">
        <v>15</v>
      </c>
      <c r="G424" t="s">
        <v>24</v>
      </c>
      <c r="H424">
        <v>3</v>
      </c>
      <c r="I424">
        <v>75.81</v>
      </c>
      <c r="J424">
        <v>227.43</v>
      </c>
      <c r="K424">
        <v>28.33</v>
      </c>
    </row>
    <row r="425" spans="1:11" x14ac:dyDescent="0.3">
      <c r="A425" t="s">
        <v>462</v>
      </c>
      <c r="B425" s="1">
        <v>45886</v>
      </c>
      <c r="C425" t="s">
        <v>18</v>
      </c>
      <c r="D425" t="s">
        <v>13</v>
      </c>
      <c r="E425" t="s">
        <v>43</v>
      </c>
      <c r="F425" t="s">
        <v>15</v>
      </c>
      <c r="G425" t="s">
        <v>30</v>
      </c>
      <c r="H425">
        <v>1</v>
      </c>
      <c r="I425">
        <v>39896.14</v>
      </c>
      <c r="J425">
        <v>39896.14</v>
      </c>
      <c r="K425">
        <v>14457.3</v>
      </c>
    </row>
    <row r="426" spans="1:11" x14ac:dyDescent="0.3">
      <c r="A426" t="s">
        <v>463</v>
      </c>
      <c r="B426" s="1">
        <v>45682</v>
      </c>
      <c r="C426" t="s">
        <v>62</v>
      </c>
      <c r="D426" t="s">
        <v>63</v>
      </c>
      <c r="E426" t="s">
        <v>27</v>
      </c>
      <c r="F426" t="s">
        <v>23</v>
      </c>
      <c r="G426" t="s">
        <v>36</v>
      </c>
      <c r="H426">
        <v>2</v>
      </c>
      <c r="I426">
        <v>118.07</v>
      </c>
      <c r="J426">
        <v>236.14</v>
      </c>
      <c r="K426">
        <v>79.52</v>
      </c>
    </row>
    <row r="427" spans="1:11" x14ac:dyDescent="0.3">
      <c r="A427" t="s">
        <v>464</v>
      </c>
      <c r="B427" s="1">
        <v>45837</v>
      </c>
      <c r="C427" t="s">
        <v>50</v>
      </c>
      <c r="D427" t="s">
        <v>39</v>
      </c>
      <c r="E427" t="s">
        <v>33</v>
      </c>
      <c r="F427" t="s">
        <v>15</v>
      </c>
      <c r="G427" t="s">
        <v>51</v>
      </c>
      <c r="H427">
        <v>1</v>
      </c>
      <c r="I427">
        <v>373.02</v>
      </c>
      <c r="J427">
        <v>373.02</v>
      </c>
      <c r="K427">
        <v>65.25</v>
      </c>
    </row>
    <row r="428" spans="1:11" x14ac:dyDescent="0.3">
      <c r="A428" t="s">
        <v>465</v>
      </c>
      <c r="B428" s="1">
        <v>45889</v>
      </c>
      <c r="C428" t="s">
        <v>12</v>
      </c>
      <c r="D428" t="s">
        <v>13</v>
      </c>
      <c r="E428" t="s">
        <v>43</v>
      </c>
      <c r="F428" t="s">
        <v>15</v>
      </c>
      <c r="G428" t="s">
        <v>30</v>
      </c>
      <c r="H428">
        <v>3</v>
      </c>
      <c r="I428">
        <v>16320.29</v>
      </c>
      <c r="J428">
        <v>48960.87</v>
      </c>
      <c r="K428">
        <v>18349.54</v>
      </c>
    </row>
    <row r="429" spans="1:11" x14ac:dyDescent="0.3">
      <c r="A429" t="s">
        <v>466</v>
      </c>
      <c r="B429" s="1">
        <v>45833</v>
      </c>
      <c r="C429" t="s">
        <v>26</v>
      </c>
      <c r="D429" t="s">
        <v>13</v>
      </c>
      <c r="E429" t="s">
        <v>14</v>
      </c>
      <c r="F429" t="s">
        <v>23</v>
      </c>
      <c r="G429" t="s">
        <v>16</v>
      </c>
      <c r="H429">
        <v>4</v>
      </c>
      <c r="I429">
        <v>1677.93</v>
      </c>
      <c r="J429">
        <v>6711.72</v>
      </c>
      <c r="K429">
        <v>2419.5700000000002</v>
      </c>
    </row>
    <row r="430" spans="1:11" x14ac:dyDescent="0.3">
      <c r="A430" t="s">
        <v>467</v>
      </c>
      <c r="B430" s="1">
        <v>45972</v>
      </c>
      <c r="C430" t="s">
        <v>38</v>
      </c>
      <c r="D430" t="s">
        <v>39</v>
      </c>
      <c r="E430" t="s">
        <v>33</v>
      </c>
      <c r="F430" t="s">
        <v>23</v>
      </c>
      <c r="G430" t="s">
        <v>51</v>
      </c>
      <c r="H430">
        <v>3</v>
      </c>
      <c r="I430">
        <v>1183.52</v>
      </c>
      <c r="J430">
        <v>3550.56</v>
      </c>
      <c r="K430">
        <v>745.81</v>
      </c>
    </row>
    <row r="431" spans="1:11" x14ac:dyDescent="0.3">
      <c r="A431" t="s">
        <v>468</v>
      </c>
      <c r="B431" s="1">
        <v>45685</v>
      </c>
      <c r="C431" t="s">
        <v>12</v>
      </c>
      <c r="D431" t="s">
        <v>13</v>
      </c>
      <c r="E431" t="s">
        <v>33</v>
      </c>
      <c r="F431" t="s">
        <v>23</v>
      </c>
      <c r="G431" t="s">
        <v>24</v>
      </c>
      <c r="H431">
        <v>1</v>
      </c>
      <c r="I431">
        <v>19707.830000000002</v>
      </c>
      <c r="J431">
        <v>19707.830000000002</v>
      </c>
      <c r="K431">
        <v>5391.81</v>
      </c>
    </row>
    <row r="432" spans="1:11" x14ac:dyDescent="0.3">
      <c r="A432" t="s">
        <v>469</v>
      </c>
      <c r="B432" s="1">
        <v>45810</v>
      </c>
      <c r="C432" t="s">
        <v>20</v>
      </c>
      <c r="D432" t="s">
        <v>21</v>
      </c>
      <c r="E432" t="s">
        <v>27</v>
      </c>
      <c r="F432" t="s">
        <v>15</v>
      </c>
      <c r="G432" t="s">
        <v>30</v>
      </c>
      <c r="H432">
        <v>1</v>
      </c>
      <c r="I432">
        <v>6360.77</v>
      </c>
      <c r="J432">
        <v>6360.77</v>
      </c>
      <c r="K432">
        <v>1508.06</v>
      </c>
    </row>
    <row r="433" spans="1:11" x14ac:dyDescent="0.3">
      <c r="A433" t="s">
        <v>470</v>
      </c>
      <c r="B433" s="1">
        <v>45842</v>
      </c>
      <c r="C433" t="s">
        <v>18</v>
      </c>
      <c r="D433" t="s">
        <v>13</v>
      </c>
      <c r="E433" t="s">
        <v>33</v>
      </c>
      <c r="F433" t="s">
        <v>23</v>
      </c>
      <c r="G433" t="s">
        <v>51</v>
      </c>
      <c r="H433">
        <v>2</v>
      </c>
      <c r="I433">
        <v>40274.22</v>
      </c>
      <c r="J433">
        <v>80548.44</v>
      </c>
      <c r="K433">
        <v>16743.990000000002</v>
      </c>
    </row>
    <row r="434" spans="1:11" x14ac:dyDescent="0.3">
      <c r="A434" t="s">
        <v>471</v>
      </c>
      <c r="B434" s="1">
        <v>45707</v>
      </c>
      <c r="C434" t="s">
        <v>18</v>
      </c>
      <c r="D434" t="s">
        <v>13</v>
      </c>
      <c r="E434" t="s">
        <v>27</v>
      </c>
      <c r="F434" t="s">
        <v>15</v>
      </c>
      <c r="G434" t="s">
        <v>24</v>
      </c>
      <c r="H434">
        <v>1</v>
      </c>
      <c r="I434">
        <v>43160.800000000003</v>
      </c>
      <c r="J434">
        <v>43160.800000000003</v>
      </c>
      <c r="K434">
        <v>5436.75</v>
      </c>
    </row>
    <row r="435" spans="1:11" x14ac:dyDescent="0.3">
      <c r="A435" t="s">
        <v>472</v>
      </c>
      <c r="B435" s="1">
        <v>45861</v>
      </c>
      <c r="C435" t="s">
        <v>38</v>
      </c>
      <c r="D435" t="s">
        <v>39</v>
      </c>
      <c r="E435" t="s">
        <v>33</v>
      </c>
      <c r="F435" t="s">
        <v>23</v>
      </c>
      <c r="G435" t="s">
        <v>51</v>
      </c>
      <c r="H435">
        <v>2</v>
      </c>
      <c r="I435">
        <v>1238.6500000000001</v>
      </c>
      <c r="J435">
        <v>2477.3000000000002</v>
      </c>
      <c r="K435">
        <v>882.67</v>
      </c>
    </row>
    <row r="436" spans="1:11" x14ac:dyDescent="0.3">
      <c r="A436" t="s">
        <v>473</v>
      </c>
      <c r="B436" s="1">
        <v>45847</v>
      </c>
      <c r="C436" t="s">
        <v>62</v>
      </c>
      <c r="D436" t="s">
        <v>63</v>
      </c>
      <c r="E436" t="s">
        <v>27</v>
      </c>
      <c r="F436" t="s">
        <v>23</v>
      </c>
      <c r="G436" t="s">
        <v>51</v>
      </c>
      <c r="H436">
        <v>1</v>
      </c>
      <c r="I436">
        <v>118.7</v>
      </c>
      <c r="J436">
        <v>118.7</v>
      </c>
      <c r="K436">
        <v>36.979999999999997</v>
      </c>
    </row>
    <row r="437" spans="1:11" x14ac:dyDescent="0.3">
      <c r="A437" t="s">
        <v>474</v>
      </c>
      <c r="B437" s="1">
        <v>45795</v>
      </c>
      <c r="C437" t="s">
        <v>29</v>
      </c>
      <c r="D437" t="s">
        <v>13</v>
      </c>
      <c r="E437" t="s">
        <v>14</v>
      </c>
      <c r="F437" t="s">
        <v>23</v>
      </c>
      <c r="G437" t="s">
        <v>16</v>
      </c>
      <c r="H437">
        <v>1</v>
      </c>
      <c r="I437">
        <v>12605.36</v>
      </c>
      <c r="J437">
        <v>12605.36</v>
      </c>
      <c r="K437">
        <v>2602.48</v>
      </c>
    </row>
    <row r="438" spans="1:11" x14ac:dyDescent="0.3">
      <c r="A438" t="s">
        <v>475</v>
      </c>
      <c r="B438" s="1">
        <v>45869</v>
      </c>
      <c r="C438" t="s">
        <v>29</v>
      </c>
      <c r="D438" t="s">
        <v>13</v>
      </c>
      <c r="E438" t="s">
        <v>33</v>
      </c>
      <c r="F438" t="s">
        <v>23</v>
      </c>
      <c r="G438" t="s">
        <v>16</v>
      </c>
      <c r="H438">
        <v>1</v>
      </c>
      <c r="I438">
        <v>10946.36</v>
      </c>
      <c r="J438">
        <v>10946.36</v>
      </c>
      <c r="K438">
        <v>3057.89</v>
      </c>
    </row>
    <row r="439" spans="1:11" x14ac:dyDescent="0.3">
      <c r="A439" t="s">
        <v>476</v>
      </c>
      <c r="B439" s="1">
        <v>46009</v>
      </c>
      <c r="C439" t="s">
        <v>38</v>
      </c>
      <c r="D439" t="s">
        <v>39</v>
      </c>
      <c r="E439" t="s">
        <v>27</v>
      </c>
      <c r="F439" t="s">
        <v>15</v>
      </c>
      <c r="G439" t="s">
        <v>16</v>
      </c>
      <c r="H439">
        <v>2</v>
      </c>
      <c r="I439">
        <v>1136.55</v>
      </c>
      <c r="J439">
        <v>2273.1</v>
      </c>
      <c r="K439">
        <v>687.15</v>
      </c>
    </row>
    <row r="440" spans="1:11" x14ac:dyDescent="0.3">
      <c r="A440" t="s">
        <v>477</v>
      </c>
      <c r="B440" s="1">
        <v>45950</v>
      </c>
      <c r="C440" t="s">
        <v>50</v>
      </c>
      <c r="D440" t="s">
        <v>39</v>
      </c>
      <c r="E440" t="s">
        <v>14</v>
      </c>
      <c r="F440" t="s">
        <v>23</v>
      </c>
      <c r="G440" t="s">
        <v>51</v>
      </c>
      <c r="H440">
        <v>3</v>
      </c>
      <c r="I440">
        <v>362.43</v>
      </c>
      <c r="J440">
        <v>1087.29</v>
      </c>
      <c r="K440">
        <v>237.82</v>
      </c>
    </row>
    <row r="441" spans="1:11" x14ac:dyDescent="0.3">
      <c r="A441" t="s">
        <v>478</v>
      </c>
      <c r="B441" s="1">
        <v>45743</v>
      </c>
      <c r="C441" t="s">
        <v>20</v>
      </c>
      <c r="D441" t="s">
        <v>21</v>
      </c>
      <c r="E441" t="s">
        <v>27</v>
      </c>
      <c r="F441" t="s">
        <v>15</v>
      </c>
      <c r="G441" t="s">
        <v>51</v>
      </c>
      <c r="H441">
        <v>3</v>
      </c>
      <c r="I441">
        <v>6014.04</v>
      </c>
      <c r="J441">
        <v>18042.12</v>
      </c>
      <c r="K441">
        <v>4869.97</v>
      </c>
    </row>
    <row r="442" spans="1:11" x14ac:dyDescent="0.3">
      <c r="A442" t="s">
        <v>479</v>
      </c>
      <c r="B442" s="1">
        <v>45962</v>
      </c>
      <c r="C442" t="s">
        <v>32</v>
      </c>
      <c r="D442" t="s">
        <v>21</v>
      </c>
      <c r="E442" t="s">
        <v>14</v>
      </c>
      <c r="F442" t="s">
        <v>23</v>
      </c>
      <c r="G442" t="s">
        <v>16</v>
      </c>
      <c r="H442">
        <v>1</v>
      </c>
      <c r="I442">
        <v>9408.7900000000009</v>
      </c>
      <c r="J442">
        <v>9408.7900000000009</v>
      </c>
      <c r="K442">
        <v>1600.35</v>
      </c>
    </row>
    <row r="443" spans="1:11" x14ac:dyDescent="0.3">
      <c r="A443" t="s">
        <v>480</v>
      </c>
      <c r="B443" s="1">
        <v>45861</v>
      </c>
      <c r="C443" t="s">
        <v>50</v>
      </c>
      <c r="D443" t="s">
        <v>39</v>
      </c>
      <c r="E443" t="s">
        <v>14</v>
      </c>
      <c r="F443" t="s">
        <v>23</v>
      </c>
      <c r="G443" t="s">
        <v>30</v>
      </c>
      <c r="H443">
        <v>1</v>
      </c>
      <c r="I443">
        <v>334.33</v>
      </c>
      <c r="J443">
        <v>334.33</v>
      </c>
      <c r="K443">
        <v>87.22</v>
      </c>
    </row>
    <row r="444" spans="1:11" x14ac:dyDescent="0.3">
      <c r="A444" t="s">
        <v>481</v>
      </c>
      <c r="B444" s="1">
        <v>45870</v>
      </c>
      <c r="C444" t="s">
        <v>26</v>
      </c>
      <c r="D444" t="s">
        <v>13</v>
      </c>
      <c r="E444" t="s">
        <v>14</v>
      </c>
      <c r="F444" t="s">
        <v>15</v>
      </c>
      <c r="G444" t="s">
        <v>16</v>
      </c>
      <c r="H444">
        <v>1</v>
      </c>
      <c r="I444">
        <v>1831.66</v>
      </c>
      <c r="J444">
        <v>1831.66</v>
      </c>
      <c r="K444">
        <v>334.87</v>
      </c>
    </row>
    <row r="445" spans="1:11" x14ac:dyDescent="0.3">
      <c r="A445" t="s">
        <v>482</v>
      </c>
      <c r="B445" s="1">
        <v>45709</v>
      </c>
      <c r="C445" t="s">
        <v>32</v>
      </c>
      <c r="D445" t="s">
        <v>21</v>
      </c>
      <c r="E445" t="s">
        <v>43</v>
      </c>
      <c r="F445" t="s">
        <v>23</v>
      </c>
      <c r="G445" t="s">
        <v>36</v>
      </c>
      <c r="H445">
        <v>4</v>
      </c>
      <c r="I445">
        <v>9684.24</v>
      </c>
      <c r="J445">
        <v>38736.959999999999</v>
      </c>
      <c r="K445">
        <v>5878.24</v>
      </c>
    </row>
    <row r="446" spans="1:11" x14ac:dyDescent="0.3">
      <c r="A446" t="s">
        <v>483</v>
      </c>
      <c r="B446" s="1">
        <v>45950</v>
      </c>
      <c r="C446" t="s">
        <v>29</v>
      </c>
      <c r="D446" t="s">
        <v>13</v>
      </c>
      <c r="E446" t="s">
        <v>33</v>
      </c>
      <c r="F446" t="s">
        <v>23</v>
      </c>
      <c r="G446" t="s">
        <v>30</v>
      </c>
      <c r="H446">
        <v>2</v>
      </c>
      <c r="I446">
        <v>11213.28</v>
      </c>
      <c r="J446">
        <v>22426.560000000001</v>
      </c>
      <c r="K446">
        <v>6172.39</v>
      </c>
    </row>
    <row r="447" spans="1:11" x14ac:dyDescent="0.3">
      <c r="A447" t="s">
        <v>484</v>
      </c>
      <c r="B447" s="1">
        <v>45860</v>
      </c>
      <c r="C447" t="s">
        <v>117</v>
      </c>
      <c r="D447" t="s">
        <v>63</v>
      </c>
      <c r="E447" t="s">
        <v>43</v>
      </c>
      <c r="F447" t="s">
        <v>23</v>
      </c>
      <c r="G447" t="s">
        <v>30</v>
      </c>
      <c r="H447">
        <v>2</v>
      </c>
      <c r="I447">
        <v>72.790000000000006</v>
      </c>
      <c r="J447">
        <v>145.58000000000001</v>
      </c>
      <c r="K447">
        <v>37.33</v>
      </c>
    </row>
    <row r="448" spans="1:11" x14ac:dyDescent="0.3">
      <c r="A448" t="s">
        <v>485</v>
      </c>
      <c r="B448" s="1">
        <v>45830</v>
      </c>
      <c r="C448" t="s">
        <v>32</v>
      </c>
      <c r="D448" t="s">
        <v>21</v>
      </c>
      <c r="E448" t="s">
        <v>14</v>
      </c>
      <c r="F448" t="s">
        <v>15</v>
      </c>
      <c r="G448" t="s">
        <v>51</v>
      </c>
      <c r="H448">
        <v>1</v>
      </c>
      <c r="I448">
        <v>9617.1200000000008</v>
      </c>
      <c r="J448">
        <v>9617.1200000000008</v>
      </c>
      <c r="K448">
        <v>1508.53</v>
      </c>
    </row>
    <row r="449" spans="1:11" x14ac:dyDescent="0.3">
      <c r="A449" t="s">
        <v>486</v>
      </c>
      <c r="B449" s="1">
        <v>45811</v>
      </c>
      <c r="C449" t="s">
        <v>57</v>
      </c>
      <c r="D449" t="s">
        <v>13</v>
      </c>
      <c r="E449" t="s">
        <v>27</v>
      </c>
      <c r="F449" t="s">
        <v>15</v>
      </c>
      <c r="G449" t="s">
        <v>51</v>
      </c>
      <c r="H449">
        <v>2</v>
      </c>
      <c r="I449">
        <v>532.58000000000004</v>
      </c>
      <c r="J449">
        <v>1065.1600000000001</v>
      </c>
      <c r="K449">
        <v>330.15</v>
      </c>
    </row>
    <row r="450" spans="1:11" x14ac:dyDescent="0.3">
      <c r="A450" t="s">
        <v>487</v>
      </c>
      <c r="B450" s="1">
        <v>45884</v>
      </c>
      <c r="C450" t="s">
        <v>20</v>
      </c>
      <c r="D450" t="s">
        <v>21</v>
      </c>
      <c r="E450" t="s">
        <v>33</v>
      </c>
      <c r="F450" t="s">
        <v>23</v>
      </c>
      <c r="G450" t="s">
        <v>30</v>
      </c>
      <c r="H450">
        <v>4</v>
      </c>
      <c r="I450">
        <v>6379.32</v>
      </c>
      <c r="J450">
        <v>25517.279999999999</v>
      </c>
      <c r="K450">
        <v>6482.42</v>
      </c>
    </row>
    <row r="451" spans="1:11" x14ac:dyDescent="0.3">
      <c r="A451" t="s">
        <v>488</v>
      </c>
      <c r="B451" s="1">
        <v>45921</v>
      </c>
      <c r="C451" t="s">
        <v>26</v>
      </c>
      <c r="D451" t="s">
        <v>13</v>
      </c>
      <c r="E451" t="s">
        <v>33</v>
      </c>
      <c r="F451" t="s">
        <v>15</v>
      </c>
      <c r="G451" t="s">
        <v>51</v>
      </c>
      <c r="H451">
        <v>1</v>
      </c>
      <c r="I451">
        <v>1875.44</v>
      </c>
      <c r="J451">
        <v>1875.44</v>
      </c>
      <c r="K451">
        <v>515.97</v>
      </c>
    </row>
    <row r="452" spans="1:11" x14ac:dyDescent="0.3">
      <c r="A452" t="s">
        <v>489</v>
      </c>
      <c r="B452" s="1">
        <v>45756</v>
      </c>
      <c r="C452" t="s">
        <v>20</v>
      </c>
      <c r="D452" t="s">
        <v>21</v>
      </c>
      <c r="E452" t="s">
        <v>43</v>
      </c>
      <c r="F452" t="s">
        <v>15</v>
      </c>
      <c r="G452" t="s">
        <v>24</v>
      </c>
      <c r="H452">
        <v>3</v>
      </c>
      <c r="I452">
        <v>6174.34</v>
      </c>
      <c r="J452">
        <v>18523.02</v>
      </c>
      <c r="K452">
        <v>4840.5</v>
      </c>
    </row>
    <row r="453" spans="1:11" x14ac:dyDescent="0.3">
      <c r="A453" t="s">
        <v>490</v>
      </c>
      <c r="B453" s="1">
        <v>45846</v>
      </c>
      <c r="C453" t="s">
        <v>38</v>
      </c>
      <c r="D453" t="s">
        <v>39</v>
      </c>
      <c r="E453" t="s">
        <v>14</v>
      </c>
      <c r="F453" t="s">
        <v>15</v>
      </c>
      <c r="G453" t="s">
        <v>24</v>
      </c>
      <c r="H453">
        <v>2</v>
      </c>
      <c r="I453">
        <v>1232.5</v>
      </c>
      <c r="J453">
        <v>2465</v>
      </c>
      <c r="K453">
        <v>857.31</v>
      </c>
    </row>
    <row r="454" spans="1:11" x14ac:dyDescent="0.3">
      <c r="A454" t="s">
        <v>491</v>
      </c>
      <c r="B454" s="1">
        <v>45908</v>
      </c>
      <c r="C454" t="s">
        <v>29</v>
      </c>
      <c r="D454" t="s">
        <v>13</v>
      </c>
      <c r="E454" t="s">
        <v>33</v>
      </c>
      <c r="F454" t="s">
        <v>23</v>
      </c>
      <c r="G454" t="s">
        <v>24</v>
      </c>
      <c r="H454">
        <v>2</v>
      </c>
      <c r="I454">
        <v>13105.25</v>
      </c>
      <c r="J454">
        <v>26210.5</v>
      </c>
      <c r="K454">
        <v>6725.84</v>
      </c>
    </row>
    <row r="455" spans="1:11" x14ac:dyDescent="0.3">
      <c r="A455" t="s">
        <v>492</v>
      </c>
      <c r="B455" s="1">
        <v>45741</v>
      </c>
      <c r="C455" t="s">
        <v>32</v>
      </c>
      <c r="D455" t="s">
        <v>21</v>
      </c>
      <c r="E455" t="s">
        <v>27</v>
      </c>
      <c r="F455" t="s">
        <v>15</v>
      </c>
      <c r="G455" t="s">
        <v>51</v>
      </c>
      <c r="H455">
        <v>3</v>
      </c>
      <c r="I455">
        <v>9339.93</v>
      </c>
      <c r="J455">
        <v>28019.79</v>
      </c>
      <c r="K455">
        <v>8570.75</v>
      </c>
    </row>
    <row r="456" spans="1:11" x14ac:dyDescent="0.3">
      <c r="A456" t="s">
        <v>493</v>
      </c>
      <c r="B456" s="1">
        <v>45950</v>
      </c>
      <c r="C456" t="s">
        <v>20</v>
      </c>
      <c r="D456" t="s">
        <v>21</v>
      </c>
      <c r="E456" t="s">
        <v>43</v>
      </c>
      <c r="F456" t="s">
        <v>23</v>
      </c>
      <c r="G456" t="s">
        <v>16</v>
      </c>
      <c r="H456">
        <v>3</v>
      </c>
      <c r="I456">
        <v>6691.59</v>
      </c>
      <c r="J456">
        <v>20074.77</v>
      </c>
      <c r="K456">
        <v>4091.22</v>
      </c>
    </row>
    <row r="457" spans="1:11" x14ac:dyDescent="0.3">
      <c r="A457" t="s">
        <v>494</v>
      </c>
      <c r="B457" s="1">
        <v>45668</v>
      </c>
      <c r="C457" t="s">
        <v>35</v>
      </c>
      <c r="D457" t="s">
        <v>13</v>
      </c>
      <c r="E457" t="s">
        <v>33</v>
      </c>
      <c r="F457" t="s">
        <v>15</v>
      </c>
      <c r="G457" t="s">
        <v>51</v>
      </c>
      <c r="H457">
        <v>1</v>
      </c>
      <c r="I457">
        <v>974.07</v>
      </c>
      <c r="J457">
        <v>974.07</v>
      </c>
      <c r="K457">
        <v>206.19</v>
      </c>
    </row>
    <row r="458" spans="1:11" x14ac:dyDescent="0.3">
      <c r="A458" t="s">
        <v>495</v>
      </c>
      <c r="B458" s="1">
        <v>45787</v>
      </c>
      <c r="C458" t="s">
        <v>29</v>
      </c>
      <c r="D458" t="s">
        <v>13</v>
      </c>
      <c r="E458" t="s">
        <v>43</v>
      </c>
      <c r="F458" t="s">
        <v>23</v>
      </c>
      <c r="G458" t="s">
        <v>36</v>
      </c>
      <c r="H458">
        <v>3</v>
      </c>
      <c r="I458">
        <v>11533.1</v>
      </c>
      <c r="J458">
        <v>34599.300000000003</v>
      </c>
      <c r="K458">
        <v>4448.5600000000004</v>
      </c>
    </row>
    <row r="459" spans="1:11" x14ac:dyDescent="0.3">
      <c r="A459" t="s">
        <v>496</v>
      </c>
      <c r="B459" s="1">
        <v>45836</v>
      </c>
      <c r="C459" t="s">
        <v>38</v>
      </c>
      <c r="D459" t="s">
        <v>39</v>
      </c>
      <c r="E459" t="s">
        <v>33</v>
      </c>
      <c r="F459" t="s">
        <v>23</v>
      </c>
      <c r="G459" t="s">
        <v>16</v>
      </c>
      <c r="H459">
        <v>1</v>
      </c>
      <c r="I459">
        <v>1192.01</v>
      </c>
      <c r="J459">
        <v>1192.01</v>
      </c>
      <c r="K459">
        <v>243.09</v>
      </c>
    </row>
    <row r="460" spans="1:11" x14ac:dyDescent="0.3">
      <c r="A460" t="s">
        <v>497</v>
      </c>
      <c r="B460" s="1">
        <v>45710</v>
      </c>
      <c r="C460" t="s">
        <v>18</v>
      </c>
      <c r="D460" t="s">
        <v>13</v>
      </c>
      <c r="E460" t="s">
        <v>43</v>
      </c>
      <c r="F460" t="s">
        <v>23</v>
      </c>
      <c r="G460" t="s">
        <v>24</v>
      </c>
      <c r="H460">
        <v>2</v>
      </c>
      <c r="I460">
        <v>43363.79</v>
      </c>
      <c r="J460">
        <v>86727.58</v>
      </c>
      <c r="K460">
        <v>13941.13</v>
      </c>
    </row>
    <row r="461" spans="1:11" x14ac:dyDescent="0.3">
      <c r="A461" t="s">
        <v>498</v>
      </c>
      <c r="B461" s="1">
        <v>46008</v>
      </c>
      <c r="C461" t="s">
        <v>12</v>
      </c>
      <c r="D461" t="s">
        <v>13</v>
      </c>
      <c r="E461" t="s">
        <v>43</v>
      </c>
      <c r="F461" t="s">
        <v>23</v>
      </c>
      <c r="G461" t="s">
        <v>24</v>
      </c>
      <c r="H461">
        <v>2</v>
      </c>
      <c r="I461">
        <v>17410.62</v>
      </c>
      <c r="J461">
        <v>34821.24</v>
      </c>
      <c r="K461">
        <v>10728.92</v>
      </c>
    </row>
    <row r="462" spans="1:11" x14ac:dyDescent="0.3">
      <c r="A462" t="s">
        <v>499</v>
      </c>
      <c r="B462" s="1">
        <v>45993</v>
      </c>
      <c r="C462" t="s">
        <v>57</v>
      </c>
      <c r="D462" t="s">
        <v>13</v>
      </c>
      <c r="E462" t="s">
        <v>33</v>
      </c>
      <c r="F462" t="s">
        <v>15</v>
      </c>
      <c r="G462" t="s">
        <v>30</v>
      </c>
      <c r="H462">
        <v>5</v>
      </c>
      <c r="I462">
        <v>515.15</v>
      </c>
      <c r="J462">
        <v>2575.75</v>
      </c>
      <c r="K462">
        <v>852.64</v>
      </c>
    </row>
    <row r="463" spans="1:11" x14ac:dyDescent="0.3">
      <c r="A463" t="s">
        <v>500</v>
      </c>
      <c r="B463" s="1">
        <v>45965</v>
      </c>
      <c r="C463" t="s">
        <v>62</v>
      </c>
      <c r="D463" t="s">
        <v>63</v>
      </c>
      <c r="E463" t="s">
        <v>27</v>
      </c>
      <c r="F463" t="s">
        <v>23</v>
      </c>
      <c r="G463" t="s">
        <v>24</v>
      </c>
      <c r="H463">
        <v>2</v>
      </c>
      <c r="I463">
        <v>124.34</v>
      </c>
      <c r="J463">
        <v>248.68</v>
      </c>
      <c r="K463">
        <v>47.86</v>
      </c>
    </row>
    <row r="464" spans="1:11" x14ac:dyDescent="0.3">
      <c r="A464" t="s">
        <v>501</v>
      </c>
      <c r="B464" s="1">
        <v>45872</v>
      </c>
      <c r="C464" t="s">
        <v>62</v>
      </c>
      <c r="D464" t="s">
        <v>63</v>
      </c>
      <c r="E464" t="s">
        <v>33</v>
      </c>
      <c r="F464" t="s">
        <v>15</v>
      </c>
      <c r="G464" t="s">
        <v>24</v>
      </c>
      <c r="H464">
        <v>1</v>
      </c>
      <c r="I464">
        <v>108.85</v>
      </c>
      <c r="J464">
        <v>108.85</v>
      </c>
      <c r="K464">
        <v>21.32</v>
      </c>
    </row>
    <row r="465" spans="1:11" x14ac:dyDescent="0.3">
      <c r="A465" t="s">
        <v>502</v>
      </c>
      <c r="B465" s="1">
        <v>45771</v>
      </c>
      <c r="C465" t="s">
        <v>35</v>
      </c>
      <c r="D465" t="s">
        <v>13</v>
      </c>
      <c r="E465" t="s">
        <v>43</v>
      </c>
      <c r="F465" t="s">
        <v>23</v>
      </c>
      <c r="G465" t="s">
        <v>51</v>
      </c>
      <c r="H465">
        <v>2</v>
      </c>
      <c r="I465">
        <v>951.28</v>
      </c>
      <c r="J465">
        <v>1902.56</v>
      </c>
      <c r="K465">
        <v>274.55</v>
      </c>
    </row>
    <row r="466" spans="1:11" x14ac:dyDescent="0.3">
      <c r="A466" t="s">
        <v>503</v>
      </c>
      <c r="B466" s="1">
        <v>45994</v>
      </c>
      <c r="C466" t="s">
        <v>50</v>
      </c>
      <c r="D466" t="s">
        <v>39</v>
      </c>
      <c r="E466" t="s">
        <v>43</v>
      </c>
      <c r="F466" t="s">
        <v>15</v>
      </c>
      <c r="G466" t="s">
        <v>24</v>
      </c>
      <c r="H466">
        <v>1</v>
      </c>
      <c r="I466">
        <v>321.83</v>
      </c>
      <c r="J466">
        <v>321.83</v>
      </c>
      <c r="K466">
        <v>111.59</v>
      </c>
    </row>
    <row r="467" spans="1:11" x14ac:dyDescent="0.3">
      <c r="A467" t="s">
        <v>504</v>
      </c>
      <c r="B467" s="1">
        <v>45993</v>
      </c>
      <c r="C467" t="s">
        <v>12</v>
      </c>
      <c r="D467" t="s">
        <v>13</v>
      </c>
      <c r="E467" t="s">
        <v>27</v>
      </c>
      <c r="F467" t="s">
        <v>23</v>
      </c>
      <c r="G467" t="s">
        <v>24</v>
      </c>
      <c r="H467">
        <v>1</v>
      </c>
      <c r="I467">
        <v>17003.98</v>
      </c>
      <c r="J467">
        <v>17003.98</v>
      </c>
      <c r="K467">
        <v>2608.88</v>
      </c>
    </row>
    <row r="468" spans="1:11" x14ac:dyDescent="0.3">
      <c r="A468" t="s">
        <v>505</v>
      </c>
      <c r="B468" s="1">
        <v>45791</v>
      </c>
      <c r="C468" t="s">
        <v>29</v>
      </c>
      <c r="D468" t="s">
        <v>13</v>
      </c>
      <c r="E468" t="s">
        <v>33</v>
      </c>
      <c r="F468" t="s">
        <v>15</v>
      </c>
      <c r="G468" t="s">
        <v>36</v>
      </c>
      <c r="H468">
        <v>1</v>
      </c>
      <c r="I468">
        <v>12842.91</v>
      </c>
      <c r="J468">
        <v>12842.91</v>
      </c>
      <c r="K468">
        <v>3309.11</v>
      </c>
    </row>
    <row r="469" spans="1:11" x14ac:dyDescent="0.3">
      <c r="A469" t="s">
        <v>506</v>
      </c>
      <c r="B469" s="1">
        <v>45757</v>
      </c>
      <c r="C469" t="s">
        <v>50</v>
      </c>
      <c r="D469" t="s">
        <v>39</v>
      </c>
      <c r="E469" t="s">
        <v>27</v>
      </c>
      <c r="F469" t="s">
        <v>15</v>
      </c>
      <c r="G469" t="s">
        <v>51</v>
      </c>
      <c r="H469">
        <v>1</v>
      </c>
      <c r="I469">
        <v>362.65</v>
      </c>
      <c r="J469">
        <v>362.65</v>
      </c>
      <c r="K469">
        <v>87.85</v>
      </c>
    </row>
    <row r="470" spans="1:11" x14ac:dyDescent="0.3">
      <c r="A470" t="s">
        <v>507</v>
      </c>
      <c r="B470" s="1">
        <v>45728</v>
      </c>
      <c r="C470" t="s">
        <v>20</v>
      </c>
      <c r="D470" t="s">
        <v>21</v>
      </c>
      <c r="E470" t="s">
        <v>27</v>
      </c>
      <c r="F470" t="s">
        <v>15</v>
      </c>
      <c r="G470" t="s">
        <v>24</v>
      </c>
      <c r="H470">
        <v>1</v>
      </c>
      <c r="I470">
        <v>7133.35</v>
      </c>
      <c r="J470">
        <v>7133.35</v>
      </c>
      <c r="K470">
        <v>1054.74</v>
      </c>
    </row>
    <row r="471" spans="1:11" x14ac:dyDescent="0.3">
      <c r="A471" t="s">
        <v>508</v>
      </c>
      <c r="B471" s="1">
        <v>45750</v>
      </c>
      <c r="C471" t="s">
        <v>12</v>
      </c>
      <c r="D471" t="s">
        <v>13</v>
      </c>
      <c r="E471" t="s">
        <v>14</v>
      </c>
      <c r="F471" t="s">
        <v>15</v>
      </c>
      <c r="G471" t="s">
        <v>36</v>
      </c>
      <c r="H471">
        <v>2</v>
      </c>
      <c r="I471">
        <v>18471.72</v>
      </c>
      <c r="J471">
        <v>36943.440000000002</v>
      </c>
      <c r="K471">
        <v>12340.06</v>
      </c>
    </row>
    <row r="472" spans="1:11" x14ac:dyDescent="0.3">
      <c r="A472" t="s">
        <v>509</v>
      </c>
      <c r="B472" s="1">
        <v>45798</v>
      </c>
      <c r="C472" t="s">
        <v>20</v>
      </c>
      <c r="D472" t="s">
        <v>21</v>
      </c>
      <c r="E472" t="s">
        <v>27</v>
      </c>
      <c r="F472" t="s">
        <v>15</v>
      </c>
      <c r="G472" t="s">
        <v>51</v>
      </c>
      <c r="H472">
        <v>3</v>
      </c>
      <c r="I472">
        <v>6069.19</v>
      </c>
      <c r="J472">
        <v>18207.57</v>
      </c>
      <c r="K472">
        <v>3299.83</v>
      </c>
    </row>
    <row r="473" spans="1:11" x14ac:dyDescent="0.3">
      <c r="A473" t="s">
        <v>510</v>
      </c>
      <c r="B473" s="1">
        <v>45972</v>
      </c>
      <c r="C473" t="s">
        <v>62</v>
      </c>
      <c r="D473" t="s">
        <v>63</v>
      </c>
      <c r="E473" t="s">
        <v>27</v>
      </c>
      <c r="F473" t="s">
        <v>15</v>
      </c>
      <c r="G473" t="s">
        <v>30</v>
      </c>
      <c r="H473">
        <v>2</v>
      </c>
      <c r="I473">
        <v>117.68</v>
      </c>
      <c r="J473">
        <v>235.36</v>
      </c>
      <c r="K473">
        <v>30.36</v>
      </c>
    </row>
    <row r="474" spans="1:11" x14ac:dyDescent="0.3">
      <c r="A474" t="s">
        <v>511</v>
      </c>
      <c r="B474" s="1">
        <v>45931</v>
      </c>
      <c r="C474" t="s">
        <v>20</v>
      </c>
      <c r="D474" t="s">
        <v>21</v>
      </c>
      <c r="E474" t="s">
        <v>33</v>
      </c>
      <c r="F474" t="s">
        <v>15</v>
      </c>
      <c r="G474" t="s">
        <v>30</v>
      </c>
      <c r="H474">
        <v>3</v>
      </c>
      <c r="I474">
        <v>7085.09</v>
      </c>
      <c r="J474">
        <v>21255.27</v>
      </c>
      <c r="K474">
        <v>3147.45</v>
      </c>
    </row>
    <row r="475" spans="1:11" x14ac:dyDescent="0.3">
      <c r="A475" t="s">
        <v>512</v>
      </c>
      <c r="B475" s="1">
        <v>46004</v>
      </c>
      <c r="C475" t="s">
        <v>18</v>
      </c>
      <c r="D475" t="s">
        <v>13</v>
      </c>
      <c r="E475" t="s">
        <v>43</v>
      </c>
      <c r="F475" t="s">
        <v>23</v>
      </c>
      <c r="G475" t="s">
        <v>51</v>
      </c>
      <c r="H475">
        <v>2</v>
      </c>
      <c r="I475">
        <v>39890.11</v>
      </c>
      <c r="J475">
        <v>79780.22</v>
      </c>
      <c r="K475">
        <v>15930.8</v>
      </c>
    </row>
    <row r="476" spans="1:11" x14ac:dyDescent="0.3">
      <c r="A476" t="s">
        <v>513</v>
      </c>
      <c r="B476" s="1">
        <v>45710</v>
      </c>
      <c r="C476" t="s">
        <v>62</v>
      </c>
      <c r="D476" t="s">
        <v>63</v>
      </c>
      <c r="E476" t="s">
        <v>14</v>
      </c>
      <c r="F476" t="s">
        <v>23</v>
      </c>
      <c r="G476" t="s">
        <v>24</v>
      </c>
      <c r="H476">
        <v>2</v>
      </c>
      <c r="I476">
        <v>115.35</v>
      </c>
      <c r="J476">
        <v>230.7</v>
      </c>
      <c r="K476">
        <v>83.75</v>
      </c>
    </row>
    <row r="477" spans="1:11" x14ac:dyDescent="0.3">
      <c r="A477" t="s">
        <v>514</v>
      </c>
      <c r="B477" s="1">
        <v>45891</v>
      </c>
      <c r="C477" t="s">
        <v>57</v>
      </c>
      <c r="D477" t="s">
        <v>13</v>
      </c>
      <c r="E477" t="s">
        <v>22</v>
      </c>
      <c r="F477" t="s">
        <v>23</v>
      </c>
      <c r="G477" t="s">
        <v>36</v>
      </c>
      <c r="H477">
        <v>2</v>
      </c>
      <c r="I477">
        <v>502.41</v>
      </c>
      <c r="J477">
        <v>1004.82</v>
      </c>
      <c r="K477">
        <v>268.54000000000002</v>
      </c>
    </row>
    <row r="478" spans="1:11" x14ac:dyDescent="0.3">
      <c r="A478" t="s">
        <v>515</v>
      </c>
      <c r="B478" s="1">
        <v>45841</v>
      </c>
      <c r="C478" t="s">
        <v>20</v>
      </c>
      <c r="D478" t="s">
        <v>21</v>
      </c>
      <c r="E478" t="s">
        <v>14</v>
      </c>
      <c r="F478" t="s">
        <v>15</v>
      </c>
      <c r="G478" t="s">
        <v>51</v>
      </c>
      <c r="H478">
        <v>1</v>
      </c>
      <c r="I478">
        <v>7028.96</v>
      </c>
      <c r="J478">
        <v>7028.96</v>
      </c>
      <c r="K478">
        <v>1187.04</v>
      </c>
    </row>
    <row r="479" spans="1:11" x14ac:dyDescent="0.3">
      <c r="A479" t="s">
        <v>516</v>
      </c>
      <c r="B479" s="1">
        <v>45725</v>
      </c>
      <c r="C479" t="s">
        <v>20</v>
      </c>
      <c r="D479" t="s">
        <v>21</v>
      </c>
      <c r="E479" t="s">
        <v>43</v>
      </c>
      <c r="F479" t="s">
        <v>15</v>
      </c>
      <c r="G479" t="s">
        <v>36</v>
      </c>
      <c r="H479">
        <v>3</v>
      </c>
      <c r="I479">
        <v>6616.6</v>
      </c>
      <c r="J479">
        <v>19849.8</v>
      </c>
      <c r="K479">
        <v>6670.8</v>
      </c>
    </row>
    <row r="480" spans="1:11" x14ac:dyDescent="0.3">
      <c r="A480" t="s">
        <v>517</v>
      </c>
      <c r="B480" s="1">
        <v>45985</v>
      </c>
      <c r="C480" t="s">
        <v>32</v>
      </c>
      <c r="D480" t="s">
        <v>21</v>
      </c>
      <c r="E480" t="s">
        <v>14</v>
      </c>
      <c r="F480" t="s">
        <v>15</v>
      </c>
      <c r="G480" t="s">
        <v>30</v>
      </c>
      <c r="H480">
        <v>3</v>
      </c>
      <c r="I480">
        <v>9221.64</v>
      </c>
      <c r="J480">
        <v>27664.92</v>
      </c>
      <c r="K480">
        <v>6240.65</v>
      </c>
    </row>
    <row r="481" spans="1:11" x14ac:dyDescent="0.3">
      <c r="A481" t="s">
        <v>518</v>
      </c>
      <c r="B481" s="1">
        <v>45682</v>
      </c>
      <c r="C481" t="s">
        <v>57</v>
      </c>
      <c r="D481" t="s">
        <v>13</v>
      </c>
      <c r="E481" t="s">
        <v>43</v>
      </c>
      <c r="F481" t="s">
        <v>23</v>
      </c>
      <c r="G481" t="s">
        <v>51</v>
      </c>
      <c r="H481">
        <v>1</v>
      </c>
      <c r="I481">
        <v>494.43</v>
      </c>
      <c r="J481">
        <v>494.43</v>
      </c>
      <c r="K481">
        <v>172</v>
      </c>
    </row>
    <row r="482" spans="1:11" x14ac:dyDescent="0.3">
      <c r="A482" t="s">
        <v>519</v>
      </c>
      <c r="B482" s="1">
        <v>45763</v>
      </c>
      <c r="C482" t="s">
        <v>57</v>
      </c>
      <c r="D482" t="s">
        <v>13</v>
      </c>
      <c r="E482" t="s">
        <v>14</v>
      </c>
      <c r="F482" t="s">
        <v>23</v>
      </c>
      <c r="G482" t="s">
        <v>16</v>
      </c>
      <c r="H482">
        <v>2</v>
      </c>
      <c r="I482">
        <v>450.93</v>
      </c>
      <c r="J482">
        <v>901.86</v>
      </c>
      <c r="K482">
        <v>244.02</v>
      </c>
    </row>
    <row r="483" spans="1:11" x14ac:dyDescent="0.3">
      <c r="A483" t="s">
        <v>520</v>
      </c>
      <c r="B483" s="1">
        <v>45968</v>
      </c>
      <c r="C483" t="s">
        <v>57</v>
      </c>
      <c r="D483" t="s">
        <v>13</v>
      </c>
      <c r="E483" t="s">
        <v>33</v>
      </c>
      <c r="F483" t="s">
        <v>15</v>
      </c>
      <c r="G483" t="s">
        <v>24</v>
      </c>
      <c r="H483">
        <v>1</v>
      </c>
      <c r="I483">
        <v>533.07000000000005</v>
      </c>
      <c r="J483">
        <v>533.07000000000005</v>
      </c>
      <c r="K483">
        <v>188.03</v>
      </c>
    </row>
    <row r="484" spans="1:11" x14ac:dyDescent="0.3">
      <c r="A484" t="s">
        <v>521</v>
      </c>
      <c r="B484" s="1">
        <v>45716</v>
      </c>
      <c r="C484" t="s">
        <v>12</v>
      </c>
      <c r="D484" t="s">
        <v>13</v>
      </c>
      <c r="E484" t="s">
        <v>33</v>
      </c>
      <c r="F484" t="s">
        <v>15</v>
      </c>
      <c r="G484" t="s">
        <v>24</v>
      </c>
      <c r="H484">
        <v>2</v>
      </c>
      <c r="I484">
        <v>18392.41</v>
      </c>
      <c r="J484">
        <v>36784.82</v>
      </c>
      <c r="K484">
        <v>6537.79</v>
      </c>
    </row>
    <row r="485" spans="1:11" x14ac:dyDescent="0.3">
      <c r="A485" t="s">
        <v>522</v>
      </c>
      <c r="B485" s="1">
        <v>46018</v>
      </c>
      <c r="C485" t="s">
        <v>62</v>
      </c>
      <c r="D485" t="s">
        <v>63</v>
      </c>
      <c r="E485" t="s">
        <v>22</v>
      </c>
      <c r="F485" t="s">
        <v>23</v>
      </c>
      <c r="G485" t="s">
        <v>24</v>
      </c>
      <c r="H485">
        <v>1</v>
      </c>
      <c r="I485">
        <v>108.95</v>
      </c>
      <c r="J485">
        <v>108.95</v>
      </c>
      <c r="K485">
        <v>27.34</v>
      </c>
    </row>
    <row r="486" spans="1:11" x14ac:dyDescent="0.3">
      <c r="A486" t="s">
        <v>523</v>
      </c>
      <c r="B486" s="1">
        <v>45778</v>
      </c>
      <c r="C486" t="s">
        <v>18</v>
      </c>
      <c r="D486" t="s">
        <v>13</v>
      </c>
      <c r="E486" t="s">
        <v>33</v>
      </c>
      <c r="F486" t="s">
        <v>23</v>
      </c>
      <c r="G486" t="s">
        <v>51</v>
      </c>
      <c r="H486">
        <v>1</v>
      </c>
      <c r="I486">
        <v>38547.620000000003</v>
      </c>
      <c r="J486">
        <v>38547.620000000003</v>
      </c>
      <c r="K486">
        <v>13541.31</v>
      </c>
    </row>
    <row r="487" spans="1:11" x14ac:dyDescent="0.3">
      <c r="A487" t="s">
        <v>524</v>
      </c>
      <c r="B487" s="1">
        <v>45704</v>
      </c>
      <c r="C487" t="s">
        <v>50</v>
      </c>
      <c r="D487" t="s">
        <v>39</v>
      </c>
      <c r="E487" t="s">
        <v>22</v>
      </c>
      <c r="F487" t="s">
        <v>23</v>
      </c>
      <c r="G487" t="s">
        <v>24</v>
      </c>
      <c r="H487">
        <v>1</v>
      </c>
      <c r="I487">
        <v>365.65</v>
      </c>
      <c r="J487">
        <v>365.65</v>
      </c>
      <c r="K487">
        <v>52.93</v>
      </c>
    </row>
    <row r="488" spans="1:11" x14ac:dyDescent="0.3">
      <c r="A488" t="s">
        <v>525</v>
      </c>
      <c r="B488" s="1">
        <v>45793</v>
      </c>
      <c r="C488" t="s">
        <v>38</v>
      </c>
      <c r="D488" t="s">
        <v>39</v>
      </c>
      <c r="E488" t="s">
        <v>43</v>
      </c>
      <c r="F488" t="s">
        <v>23</v>
      </c>
      <c r="G488" t="s">
        <v>24</v>
      </c>
      <c r="H488">
        <v>1</v>
      </c>
      <c r="I488">
        <v>1275.1600000000001</v>
      </c>
      <c r="J488">
        <v>1275.1600000000001</v>
      </c>
      <c r="K488">
        <v>194.75</v>
      </c>
    </row>
    <row r="489" spans="1:11" x14ac:dyDescent="0.3">
      <c r="A489" t="s">
        <v>526</v>
      </c>
      <c r="B489" s="1">
        <v>45876</v>
      </c>
      <c r="C489" t="s">
        <v>57</v>
      </c>
      <c r="D489" t="s">
        <v>13</v>
      </c>
      <c r="E489" t="s">
        <v>14</v>
      </c>
      <c r="F489" t="s">
        <v>15</v>
      </c>
      <c r="G489" t="s">
        <v>51</v>
      </c>
      <c r="H489">
        <v>1</v>
      </c>
      <c r="I489">
        <v>535.12</v>
      </c>
      <c r="J489">
        <v>535.12</v>
      </c>
      <c r="K489">
        <v>79.48</v>
      </c>
    </row>
    <row r="490" spans="1:11" x14ac:dyDescent="0.3">
      <c r="A490" t="s">
        <v>527</v>
      </c>
      <c r="B490" s="1">
        <v>45826</v>
      </c>
      <c r="C490" t="s">
        <v>117</v>
      </c>
      <c r="D490" t="s">
        <v>63</v>
      </c>
      <c r="E490" t="s">
        <v>14</v>
      </c>
      <c r="F490" t="s">
        <v>23</v>
      </c>
      <c r="G490" t="s">
        <v>24</v>
      </c>
      <c r="H490">
        <v>4</v>
      </c>
      <c r="I490">
        <v>87.28</v>
      </c>
      <c r="J490">
        <v>349.12</v>
      </c>
      <c r="K490">
        <v>108.31</v>
      </c>
    </row>
    <row r="491" spans="1:11" x14ac:dyDescent="0.3">
      <c r="A491" t="s">
        <v>528</v>
      </c>
      <c r="B491" s="1">
        <v>45751</v>
      </c>
      <c r="C491" t="s">
        <v>12</v>
      </c>
      <c r="D491" t="s">
        <v>13</v>
      </c>
      <c r="E491" t="s">
        <v>27</v>
      </c>
      <c r="F491" t="s">
        <v>23</v>
      </c>
      <c r="G491" t="s">
        <v>36</v>
      </c>
      <c r="H491">
        <v>1</v>
      </c>
      <c r="I491">
        <v>19664.32</v>
      </c>
      <c r="J491">
        <v>19664.32</v>
      </c>
      <c r="K491">
        <v>6082.63</v>
      </c>
    </row>
    <row r="492" spans="1:11" x14ac:dyDescent="0.3">
      <c r="A492" t="s">
        <v>529</v>
      </c>
      <c r="B492" s="1">
        <v>45990</v>
      </c>
      <c r="C492" t="s">
        <v>26</v>
      </c>
      <c r="D492" t="s">
        <v>13</v>
      </c>
      <c r="E492" t="s">
        <v>22</v>
      </c>
      <c r="F492" t="s">
        <v>15</v>
      </c>
      <c r="G492" t="s">
        <v>36</v>
      </c>
      <c r="H492">
        <v>1</v>
      </c>
      <c r="I492">
        <v>1870.62</v>
      </c>
      <c r="J492">
        <v>1870.62</v>
      </c>
      <c r="K492">
        <v>682.31</v>
      </c>
    </row>
    <row r="493" spans="1:11" x14ac:dyDescent="0.3">
      <c r="A493" t="s">
        <v>530</v>
      </c>
      <c r="B493" s="1">
        <v>45960</v>
      </c>
      <c r="C493" t="s">
        <v>38</v>
      </c>
      <c r="D493" t="s">
        <v>39</v>
      </c>
      <c r="E493" t="s">
        <v>27</v>
      </c>
      <c r="F493" t="s">
        <v>23</v>
      </c>
      <c r="G493" t="s">
        <v>16</v>
      </c>
      <c r="H493">
        <v>3</v>
      </c>
      <c r="I493">
        <v>1242.81</v>
      </c>
      <c r="J493">
        <v>3728.43</v>
      </c>
      <c r="K493">
        <v>1241.0899999999999</v>
      </c>
    </row>
    <row r="494" spans="1:11" x14ac:dyDescent="0.3">
      <c r="A494" t="s">
        <v>531</v>
      </c>
      <c r="B494" s="1">
        <v>45672</v>
      </c>
      <c r="C494" t="s">
        <v>35</v>
      </c>
      <c r="D494" t="s">
        <v>13</v>
      </c>
      <c r="E494" t="s">
        <v>27</v>
      </c>
      <c r="F494" t="s">
        <v>23</v>
      </c>
      <c r="G494" t="s">
        <v>30</v>
      </c>
      <c r="H494">
        <v>4</v>
      </c>
      <c r="I494">
        <v>940.91</v>
      </c>
      <c r="J494">
        <v>3763.64</v>
      </c>
      <c r="K494">
        <v>557.54999999999995</v>
      </c>
    </row>
    <row r="495" spans="1:11" x14ac:dyDescent="0.3">
      <c r="A495" t="s">
        <v>532</v>
      </c>
      <c r="B495" s="1">
        <v>45868</v>
      </c>
      <c r="C495" t="s">
        <v>38</v>
      </c>
      <c r="D495" t="s">
        <v>39</v>
      </c>
      <c r="E495" t="s">
        <v>33</v>
      </c>
      <c r="F495" t="s">
        <v>15</v>
      </c>
      <c r="G495" t="s">
        <v>24</v>
      </c>
      <c r="H495">
        <v>1</v>
      </c>
      <c r="I495">
        <v>1142.79</v>
      </c>
      <c r="J495">
        <v>1142.79</v>
      </c>
      <c r="K495">
        <v>340.89</v>
      </c>
    </row>
    <row r="496" spans="1:11" x14ac:dyDescent="0.3">
      <c r="A496" t="s">
        <v>533</v>
      </c>
      <c r="B496" s="1">
        <v>45923</v>
      </c>
      <c r="C496" t="s">
        <v>50</v>
      </c>
      <c r="D496" t="s">
        <v>39</v>
      </c>
      <c r="E496" t="s">
        <v>22</v>
      </c>
      <c r="F496" t="s">
        <v>23</v>
      </c>
      <c r="G496" t="s">
        <v>24</v>
      </c>
      <c r="H496">
        <v>2</v>
      </c>
      <c r="I496">
        <v>358.28</v>
      </c>
      <c r="J496">
        <v>716.56</v>
      </c>
      <c r="K496">
        <v>191.65</v>
      </c>
    </row>
    <row r="497" spans="1:11" x14ac:dyDescent="0.3">
      <c r="A497" t="s">
        <v>534</v>
      </c>
      <c r="B497" s="1">
        <v>45997</v>
      </c>
      <c r="C497" t="s">
        <v>35</v>
      </c>
      <c r="D497" t="s">
        <v>13</v>
      </c>
      <c r="E497" t="s">
        <v>33</v>
      </c>
      <c r="F497" t="s">
        <v>15</v>
      </c>
      <c r="G497" t="s">
        <v>30</v>
      </c>
      <c r="H497">
        <v>2</v>
      </c>
      <c r="I497">
        <v>836.76</v>
      </c>
      <c r="J497">
        <v>1673.52</v>
      </c>
      <c r="K497">
        <v>276.33999999999997</v>
      </c>
    </row>
    <row r="498" spans="1:11" x14ac:dyDescent="0.3">
      <c r="A498" t="s">
        <v>535</v>
      </c>
      <c r="B498" s="1">
        <v>45987</v>
      </c>
      <c r="C498" t="s">
        <v>26</v>
      </c>
      <c r="D498" t="s">
        <v>13</v>
      </c>
      <c r="E498" t="s">
        <v>22</v>
      </c>
      <c r="F498" t="s">
        <v>15</v>
      </c>
      <c r="G498" t="s">
        <v>36</v>
      </c>
      <c r="H498">
        <v>2</v>
      </c>
      <c r="I498">
        <v>1788.94</v>
      </c>
      <c r="J498">
        <v>3577.88</v>
      </c>
      <c r="K498">
        <v>898.34</v>
      </c>
    </row>
    <row r="499" spans="1:11" x14ac:dyDescent="0.3">
      <c r="A499" t="s">
        <v>536</v>
      </c>
      <c r="B499" s="1">
        <v>45822</v>
      </c>
      <c r="C499" t="s">
        <v>20</v>
      </c>
      <c r="D499" t="s">
        <v>21</v>
      </c>
      <c r="E499" t="s">
        <v>33</v>
      </c>
      <c r="F499" t="s">
        <v>23</v>
      </c>
      <c r="G499" t="s">
        <v>36</v>
      </c>
      <c r="H499">
        <v>1</v>
      </c>
      <c r="I499">
        <v>6211.6</v>
      </c>
      <c r="J499">
        <v>6211.6</v>
      </c>
      <c r="K499">
        <v>1541.71</v>
      </c>
    </row>
    <row r="500" spans="1:11" x14ac:dyDescent="0.3">
      <c r="A500" t="s">
        <v>537</v>
      </c>
      <c r="B500" s="1">
        <v>45778</v>
      </c>
      <c r="C500" t="s">
        <v>12</v>
      </c>
      <c r="D500" t="s">
        <v>13</v>
      </c>
      <c r="E500" t="s">
        <v>27</v>
      </c>
      <c r="F500" t="s">
        <v>23</v>
      </c>
      <c r="G500" t="s">
        <v>24</v>
      </c>
      <c r="H500">
        <v>2</v>
      </c>
      <c r="I500">
        <v>19084.54</v>
      </c>
      <c r="J500">
        <v>38169.08</v>
      </c>
      <c r="K500">
        <v>10057.34</v>
      </c>
    </row>
    <row r="501" spans="1:11" x14ac:dyDescent="0.3">
      <c r="A501" t="s">
        <v>538</v>
      </c>
      <c r="B501" s="1">
        <v>45718</v>
      </c>
      <c r="C501" t="s">
        <v>38</v>
      </c>
      <c r="D501" t="s">
        <v>39</v>
      </c>
      <c r="E501" t="s">
        <v>14</v>
      </c>
      <c r="F501" t="s">
        <v>15</v>
      </c>
      <c r="G501" t="s">
        <v>30</v>
      </c>
      <c r="H501">
        <v>3</v>
      </c>
      <c r="I501">
        <v>1084.26</v>
      </c>
      <c r="J501">
        <v>3252.78</v>
      </c>
      <c r="K501">
        <v>894.86</v>
      </c>
    </row>
    <row r="502" spans="1:11" x14ac:dyDescent="0.3">
      <c r="A502" t="s">
        <v>539</v>
      </c>
      <c r="B502" s="1">
        <v>45967</v>
      </c>
      <c r="C502" t="s">
        <v>29</v>
      </c>
      <c r="D502" t="s">
        <v>13</v>
      </c>
      <c r="E502" t="s">
        <v>27</v>
      </c>
      <c r="F502" t="s">
        <v>23</v>
      </c>
      <c r="G502" t="s">
        <v>24</v>
      </c>
      <c r="H502">
        <v>2</v>
      </c>
      <c r="I502">
        <v>12936.27</v>
      </c>
      <c r="J502">
        <v>25872.54</v>
      </c>
      <c r="K502">
        <v>6048.83</v>
      </c>
    </row>
    <row r="503" spans="1:11" x14ac:dyDescent="0.3">
      <c r="A503" t="s">
        <v>540</v>
      </c>
      <c r="B503" s="1">
        <v>45685</v>
      </c>
      <c r="C503" t="s">
        <v>20</v>
      </c>
      <c r="D503" t="s">
        <v>21</v>
      </c>
      <c r="E503" t="s">
        <v>33</v>
      </c>
      <c r="F503" t="s">
        <v>23</v>
      </c>
      <c r="G503" t="s">
        <v>24</v>
      </c>
      <c r="H503">
        <v>3</v>
      </c>
      <c r="I503">
        <v>6281.56</v>
      </c>
      <c r="J503">
        <v>18844.68</v>
      </c>
      <c r="K503">
        <v>3400.93</v>
      </c>
    </row>
    <row r="504" spans="1:11" x14ac:dyDescent="0.3">
      <c r="A504" t="s">
        <v>541</v>
      </c>
      <c r="B504" s="1">
        <v>45889</v>
      </c>
      <c r="C504" t="s">
        <v>12</v>
      </c>
      <c r="D504" t="s">
        <v>13</v>
      </c>
      <c r="E504" t="s">
        <v>43</v>
      </c>
      <c r="F504" t="s">
        <v>23</v>
      </c>
      <c r="G504" t="s">
        <v>16</v>
      </c>
      <c r="H504">
        <v>1</v>
      </c>
      <c r="I504">
        <v>18572.080000000002</v>
      </c>
      <c r="J504">
        <v>18572.080000000002</v>
      </c>
      <c r="K504">
        <v>7046.78</v>
      </c>
    </row>
    <row r="505" spans="1:11" x14ac:dyDescent="0.3">
      <c r="A505" t="s">
        <v>542</v>
      </c>
      <c r="B505" s="1">
        <v>45925</v>
      </c>
      <c r="C505" t="s">
        <v>117</v>
      </c>
      <c r="D505" t="s">
        <v>63</v>
      </c>
      <c r="E505" t="s">
        <v>22</v>
      </c>
      <c r="F505" t="s">
        <v>23</v>
      </c>
      <c r="G505" t="s">
        <v>30</v>
      </c>
      <c r="H505">
        <v>3</v>
      </c>
      <c r="I505">
        <v>72.73</v>
      </c>
      <c r="J505">
        <v>218.19</v>
      </c>
      <c r="K505">
        <v>73.599999999999994</v>
      </c>
    </row>
    <row r="506" spans="1:11" x14ac:dyDescent="0.3">
      <c r="A506" t="s">
        <v>543</v>
      </c>
      <c r="B506" s="1">
        <v>45788</v>
      </c>
      <c r="C506" t="s">
        <v>29</v>
      </c>
      <c r="D506" t="s">
        <v>13</v>
      </c>
      <c r="E506" t="s">
        <v>22</v>
      </c>
      <c r="F506" t="s">
        <v>23</v>
      </c>
      <c r="G506" t="s">
        <v>51</v>
      </c>
      <c r="H506">
        <v>1</v>
      </c>
      <c r="I506">
        <v>11089.79</v>
      </c>
      <c r="J506">
        <v>11089.79</v>
      </c>
      <c r="K506">
        <v>1756.95</v>
      </c>
    </row>
    <row r="507" spans="1:11" x14ac:dyDescent="0.3">
      <c r="A507" t="s">
        <v>544</v>
      </c>
      <c r="B507" s="1">
        <v>45831</v>
      </c>
      <c r="C507" t="s">
        <v>12</v>
      </c>
      <c r="D507" t="s">
        <v>13</v>
      </c>
      <c r="E507" t="s">
        <v>33</v>
      </c>
      <c r="F507" t="s">
        <v>15</v>
      </c>
      <c r="G507" t="s">
        <v>36</v>
      </c>
      <c r="H507">
        <v>3</v>
      </c>
      <c r="I507">
        <v>16367.4</v>
      </c>
      <c r="J507">
        <v>49102.2</v>
      </c>
      <c r="K507">
        <v>10574.53</v>
      </c>
    </row>
    <row r="508" spans="1:11" x14ac:dyDescent="0.3">
      <c r="A508" t="s">
        <v>545</v>
      </c>
      <c r="B508" s="1">
        <v>45892</v>
      </c>
      <c r="C508" t="s">
        <v>35</v>
      </c>
      <c r="D508" t="s">
        <v>13</v>
      </c>
      <c r="E508" t="s">
        <v>14</v>
      </c>
      <c r="F508" t="s">
        <v>15</v>
      </c>
      <c r="G508" t="s">
        <v>16</v>
      </c>
      <c r="H508">
        <v>2</v>
      </c>
      <c r="I508">
        <v>900.76</v>
      </c>
      <c r="J508">
        <v>1801.52</v>
      </c>
      <c r="K508">
        <v>233.11</v>
      </c>
    </row>
    <row r="509" spans="1:11" x14ac:dyDescent="0.3">
      <c r="A509" t="s">
        <v>546</v>
      </c>
      <c r="B509" s="1">
        <v>45879</v>
      </c>
      <c r="C509" t="s">
        <v>29</v>
      </c>
      <c r="D509" t="s">
        <v>13</v>
      </c>
      <c r="E509" t="s">
        <v>22</v>
      </c>
      <c r="F509" t="s">
        <v>15</v>
      </c>
      <c r="G509" t="s">
        <v>51</v>
      </c>
      <c r="H509">
        <v>2</v>
      </c>
      <c r="I509">
        <v>12020</v>
      </c>
      <c r="J509">
        <v>24040</v>
      </c>
      <c r="K509">
        <v>3377.57</v>
      </c>
    </row>
    <row r="510" spans="1:11" x14ac:dyDescent="0.3">
      <c r="A510" t="s">
        <v>547</v>
      </c>
      <c r="B510" s="1">
        <v>45711</v>
      </c>
      <c r="C510" t="s">
        <v>62</v>
      </c>
      <c r="D510" t="s">
        <v>63</v>
      </c>
      <c r="E510" t="s">
        <v>27</v>
      </c>
      <c r="F510" t="s">
        <v>23</v>
      </c>
      <c r="G510" t="s">
        <v>16</v>
      </c>
      <c r="H510">
        <v>2</v>
      </c>
      <c r="I510">
        <v>122.55</v>
      </c>
      <c r="J510">
        <v>245.1</v>
      </c>
      <c r="K510">
        <v>72.63</v>
      </c>
    </row>
    <row r="511" spans="1:11" x14ac:dyDescent="0.3">
      <c r="A511" t="s">
        <v>548</v>
      </c>
      <c r="B511" s="1">
        <v>46012</v>
      </c>
      <c r="C511" t="s">
        <v>20</v>
      </c>
      <c r="D511" t="s">
        <v>21</v>
      </c>
      <c r="E511" t="s">
        <v>27</v>
      </c>
      <c r="F511" t="s">
        <v>15</v>
      </c>
      <c r="G511" t="s">
        <v>51</v>
      </c>
      <c r="H511">
        <v>1</v>
      </c>
      <c r="I511">
        <v>7102.67</v>
      </c>
      <c r="J511">
        <v>7102.67</v>
      </c>
      <c r="K511">
        <v>906.81</v>
      </c>
    </row>
    <row r="512" spans="1:11" x14ac:dyDescent="0.3">
      <c r="A512" t="s">
        <v>549</v>
      </c>
      <c r="B512" s="1">
        <v>45869</v>
      </c>
      <c r="C512" t="s">
        <v>29</v>
      </c>
      <c r="D512" t="s">
        <v>13</v>
      </c>
      <c r="E512" t="s">
        <v>33</v>
      </c>
      <c r="F512" t="s">
        <v>23</v>
      </c>
      <c r="G512" t="s">
        <v>16</v>
      </c>
      <c r="H512">
        <v>3</v>
      </c>
      <c r="I512">
        <v>12596.22</v>
      </c>
      <c r="J512">
        <v>37788.660000000003</v>
      </c>
      <c r="K512">
        <v>11422.85</v>
      </c>
    </row>
    <row r="513" spans="1:11" x14ac:dyDescent="0.3">
      <c r="A513" t="s">
        <v>550</v>
      </c>
      <c r="B513" s="1">
        <v>45981</v>
      </c>
      <c r="C513" t="s">
        <v>20</v>
      </c>
      <c r="D513" t="s">
        <v>21</v>
      </c>
      <c r="E513" t="s">
        <v>43</v>
      </c>
      <c r="F513" t="s">
        <v>15</v>
      </c>
      <c r="G513" t="s">
        <v>51</v>
      </c>
      <c r="H513">
        <v>1</v>
      </c>
      <c r="I513">
        <v>6661.42</v>
      </c>
      <c r="J513">
        <v>6661.42</v>
      </c>
      <c r="K513">
        <v>2028.06</v>
      </c>
    </row>
    <row r="514" spans="1:11" x14ac:dyDescent="0.3">
      <c r="A514" t="s">
        <v>551</v>
      </c>
      <c r="B514" s="1">
        <v>45915</v>
      </c>
      <c r="C514" t="s">
        <v>50</v>
      </c>
      <c r="D514" t="s">
        <v>39</v>
      </c>
      <c r="E514" t="s">
        <v>43</v>
      </c>
      <c r="F514" t="s">
        <v>23</v>
      </c>
      <c r="G514" t="s">
        <v>16</v>
      </c>
      <c r="H514">
        <v>2</v>
      </c>
      <c r="I514">
        <v>337.57</v>
      </c>
      <c r="J514">
        <v>675.14</v>
      </c>
      <c r="K514">
        <v>236.3</v>
      </c>
    </row>
    <row r="515" spans="1:11" x14ac:dyDescent="0.3">
      <c r="A515" t="s">
        <v>552</v>
      </c>
      <c r="B515" s="1">
        <v>45950</v>
      </c>
      <c r="C515" t="s">
        <v>35</v>
      </c>
      <c r="D515" t="s">
        <v>13</v>
      </c>
      <c r="E515" t="s">
        <v>33</v>
      </c>
      <c r="F515" t="s">
        <v>23</v>
      </c>
      <c r="G515" t="s">
        <v>36</v>
      </c>
      <c r="H515">
        <v>3</v>
      </c>
      <c r="I515">
        <v>931.36</v>
      </c>
      <c r="J515">
        <v>2794.08</v>
      </c>
      <c r="K515">
        <v>412.39</v>
      </c>
    </row>
    <row r="516" spans="1:11" x14ac:dyDescent="0.3">
      <c r="A516" t="s">
        <v>553</v>
      </c>
      <c r="B516" s="1">
        <v>45664</v>
      </c>
      <c r="C516" t="s">
        <v>50</v>
      </c>
      <c r="D516" t="s">
        <v>39</v>
      </c>
      <c r="E516" t="s">
        <v>14</v>
      </c>
      <c r="F516" t="s">
        <v>15</v>
      </c>
      <c r="G516" t="s">
        <v>24</v>
      </c>
      <c r="H516">
        <v>1</v>
      </c>
      <c r="I516">
        <v>341.66</v>
      </c>
      <c r="J516">
        <v>341.66</v>
      </c>
      <c r="K516">
        <v>125.12</v>
      </c>
    </row>
    <row r="517" spans="1:11" x14ac:dyDescent="0.3">
      <c r="A517" t="s">
        <v>554</v>
      </c>
      <c r="B517" s="1">
        <v>45740</v>
      </c>
      <c r="C517" t="s">
        <v>32</v>
      </c>
      <c r="D517" t="s">
        <v>21</v>
      </c>
      <c r="E517" t="s">
        <v>43</v>
      </c>
      <c r="F517" t="s">
        <v>15</v>
      </c>
      <c r="G517" t="s">
        <v>16</v>
      </c>
      <c r="H517">
        <v>2</v>
      </c>
      <c r="I517">
        <v>8363.57</v>
      </c>
      <c r="J517">
        <v>16727.14</v>
      </c>
      <c r="K517">
        <v>6086.53</v>
      </c>
    </row>
    <row r="518" spans="1:11" x14ac:dyDescent="0.3">
      <c r="A518" t="s">
        <v>555</v>
      </c>
      <c r="B518" s="1">
        <v>45674</v>
      </c>
      <c r="C518" t="s">
        <v>117</v>
      </c>
      <c r="D518" t="s">
        <v>63</v>
      </c>
      <c r="E518" t="s">
        <v>33</v>
      </c>
      <c r="F518" t="s">
        <v>15</v>
      </c>
      <c r="G518" t="s">
        <v>16</v>
      </c>
      <c r="H518">
        <v>3</v>
      </c>
      <c r="I518">
        <v>73.64</v>
      </c>
      <c r="J518">
        <v>220.92</v>
      </c>
      <c r="K518">
        <v>34.090000000000003</v>
      </c>
    </row>
    <row r="519" spans="1:11" x14ac:dyDescent="0.3">
      <c r="A519" t="s">
        <v>556</v>
      </c>
      <c r="B519" s="1">
        <v>45857</v>
      </c>
      <c r="C519" t="s">
        <v>20</v>
      </c>
      <c r="D519" t="s">
        <v>21</v>
      </c>
      <c r="E519" t="s">
        <v>14</v>
      </c>
      <c r="F519" t="s">
        <v>23</v>
      </c>
      <c r="G519" t="s">
        <v>36</v>
      </c>
      <c r="H519">
        <v>2</v>
      </c>
      <c r="I519">
        <v>6885.88</v>
      </c>
      <c r="J519">
        <v>13771.76</v>
      </c>
      <c r="K519">
        <v>2740.67</v>
      </c>
    </row>
    <row r="520" spans="1:11" x14ac:dyDescent="0.3">
      <c r="A520" t="s">
        <v>557</v>
      </c>
      <c r="B520" s="1">
        <v>45871</v>
      </c>
      <c r="C520" t="s">
        <v>35</v>
      </c>
      <c r="D520" t="s">
        <v>13</v>
      </c>
      <c r="E520" t="s">
        <v>43</v>
      </c>
      <c r="F520" t="s">
        <v>15</v>
      </c>
      <c r="G520" t="s">
        <v>16</v>
      </c>
      <c r="H520">
        <v>1</v>
      </c>
      <c r="I520">
        <v>909.38</v>
      </c>
      <c r="J520">
        <v>909.38</v>
      </c>
      <c r="K520">
        <v>342.5</v>
      </c>
    </row>
    <row r="521" spans="1:11" x14ac:dyDescent="0.3">
      <c r="A521" t="s">
        <v>558</v>
      </c>
      <c r="B521" s="1">
        <v>45884</v>
      </c>
      <c r="C521" t="s">
        <v>20</v>
      </c>
      <c r="D521" t="s">
        <v>21</v>
      </c>
      <c r="E521" t="s">
        <v>33</v>
      </c>
      <c r="F521" t="s">
        <v>15</v>
      </c>
      <c r="G521" t="s">
        <v>51</v>
      </c>
      <c r="H521">
        <v>4</v>
      </c>
      <c r="I521">
        <v>6766.02</v>
      </c>
      <c r="J521">
        <v>27064.080000000002</v>
      </c>
      <c r="K521">
        <v>5727.18</v>
      </c>
    </row>
    <row r="522" spans="1:11" x14ac:dyDescent="0.3">
      <c r="A522" t="s">
        <v>559</v>
      </c>
      <c r="B522" s="1">
        <v>45808</v>
      </c>
      <c r="C522" t="s">
        <v>38</v>
      </c>
      <c r="D522" t="s">
        <v>39</v>
      </c>
      <c r="E522" t="s">
        <v>22</v>
      </c>
      <c r="F522" t="s">
        <v>15</v>
      </c>
      <c r="G522" t="s">
        <v>36</v>
      </c>
      <c r="H522">
        <v>1</v>
      </c>
      <c r="I522">
        <v>1243.8399999999999</v>
      </c>
      <c r="J522">
        <v>1243.8399999999999</v>
      </c>
      <c r="K522">
        <v>412.19</v>
      </c>
    </row>
    <row r="523" spans="1:11" x14ac:dyDescent="0.3">
      <c r="A523" t="s">
        <v>560</v>
      </c>
      <c r="B523" s="1">
        <v>45678</v>
      </c>
      <c r="C523" t="s">
        <v>62</v>
      </c>
      <c r="D523" t="s">
        <v>63</v>
      </c>
      <c r="E523" t="s">
        <v>43</v>
      </c>
      <c r="F523" t="s">
        <v>15</v>
      </c>
      <c r="G523" t="s">
        <v>24</v>
      </c>
      <c r="H523">
        <v>1</v>
      </c>
      <c r="I523">
        <v>114.34</v>
      </c>
      <c r="J523">
        <v>114.34</v>
      </c>
      <c r="K523">
        <v>38.67</v>
      </c>
    </row>
    <row r="524" spans="1:11" x14ac:dyDescent="0.3">
      <c r="A524" t="s">
        <v>561</v>
      </c>
      <c r="B524" s="1">
        <v>45896</v>
      </c>
      <c r="C524" t="s">
        <v>57</v>
      </c>
      <c r="D524" t="s">
        <v>13</v>
      </c>
      <c r="E524" t="s">
        <v>33</v>
      </c>
      <c r="F524" t="s">
        <v>15</v>
      </c>
      <c r="G524" t="s">
        <v>16</v>
      </c>
      <c r="H524">
        <v>4</v>
      </c>
      <c r="I524">
        <v>453.99</v>
      </c>
      <c r="J524">
        <v>1815.96</v>
      </c>
      <c r="K524">
        <v>251.61</v>
      </c>
    </row>
    <row r="525" spans="1:11" x14ac:dyDescent="0.3">
      <c r="A525" t="s">
        <v>562</v>
      </c>
      <c r="B525" s="1">
        <v>45996</v>
      </c>
      <c r="C525" t="s">
        <v>32</v>
      </c>
      <c r="D525" t="s">
        <v>21</v>
      </c>
      <c r="E525" t="s">
        <v>43</v>
      </c>
      <c r="F525" t="s">
        <v>15</v>
      </c>
      <c r="G525" t="s">
        <v>51</v>
      </c>
      <c r="H525">
        <v>2</v>
      </c>
      <c r="I525">
        <v>9130.82</v>
      </c>
      <c r="J525">
        <v>18261.64</v>
      </c>
      <c r="K525">
        <v>5239.22</v>
      </c>
    </row>
    <row r="526" spans="1:11" x14ac:dyDescent="0.3">
      <c r="A526" t="s">
        <v>563</v>
      </c>
      <c r="B526" s="1">
        <v>45924</v>
      </c>
      <c r="C526" t="s">
        <v>12</v>
      </c>
      <c r="D526" t="s">
        <v>13</v>
      </c>
      <c r="E526" t="s">
        <v>27</v>
      </c>
      <c r="F526" t="s">
        <v>15</v>
      </c>
      <c r="G526" t="s">
        <v>24</v>
      </c>
      <c r="H526">
        <v>3</v>
      </c>
      <c r="I526">
        <v>16773.73</v>
      </c>
      <c r="J526">
        <v>50321.19</v>
      </c>
      <c r="K526">
        <v>12016.66</v>
      </c>
    </row>
    <row r="527" spans="1:11" x14ac:dyDescent="0.3">
      <c r="A527" t="s">
        <v>564</v>
      </c>
      <c r="B527" s="1">
        <v>45771</v>
      </c>
      <c r="C527" t="s">
        <v>20</v>
      </c>
      <c r="D527" t="s">
        <v>21</v>
      </c>
      <c r="E527" t="s">
        <v>33</v>
      </c>
      <c r="F527" t="s">
        <v>23</v>
      </c>
      <c r="G527" t="s">
        <v>16</v>
      </c>
      <c r="H527">
        <v>2</v>
      </c>
      <c r="I527">
        <v>6280.39</v>
      </c>
      <c r="J527">
        <v>12560.78</v>
      </c>
      <c r="K527">
        <v>3814.34</v>
      </c>
    </row>
    <row r="528" spans="1:11" x14ac:dyDescent="0.3">
      <c r="A528" t="s">
        <v>565</v>
      </c>
      <c r="B528" s="1">
        <v>45990</v>
      </c>
      <c r="C528" t="s">
        <v>18</v>
      </c>
      <c r="D528" t="s">
        <v>13</v>
      </c>
      <c r="E528" t="s">
        <v>33</v>
      </c>
      <c r="F528" t="s">
        <v>15</v>
      </c>
      <c r="G528" t="s">
        <v>30</v>
      </c>
      <c r="H528">
        <v>1</v>
      </c>
      <c r="I528">
        <v>40706.46</v>
      </c>
      <c r="J528">
        <v>40706.46</v>
      </c>
      <c r="K528">
        <v>12924.69</v>
      </c>
    </row>
    <row r="529" spans="1:11" x14ac:dyDescent="0.3">
      <c r="A529" t="s">
        <v>566</v>
      </c>
      <c r="B529" s="1">
        <v>46007</v>
      </c>
      <c r="C529" t="s">
        <v>117</v>
      </c>
      <c r="D529" t="s">
        <v>63</v>
      </c>
      <c r="E529" t="s">
        <v>43</v>
      </c>
      <c r="F529" t="s">
        <v>23</v>
      </c>
      <c r="G529" t="s">
        <v>30</v>
      </c>
      <c r="H529">
        <v>1</v>
      </c>
      <c r="I529">
        <v>84.74</v>
      </c>
      <c r="J529">
        <v>84.74</v>
      </c>
      <c r="K529">
        <v>29.7</v>
      </c>
    </row>
    <row r="530" spans="1:11" x14ac:dyDescent="0.3">
      <c r="A530" t="s">
        <v>567</v>
      </c>
      <c r="B530" s="1">
        <v>45922</v>
      </c>
      <c r="C530" t="s">
        <v>117</v>
      </c>
      <c r="D530" t="s">
        <v>63</v>
      </c>
      <c r="E530" t="s">
        <v>43</v>
      </c>
      <c r="F530" t="s">
        <v>15</v>
      </c>
      <c r="G530" t="s">
        <v>24</v>
      </c>
      <c r="H530">
        <v>2</v>
      </c>
      <c r="I530">
        <v>80.14</v>
      </c>
      <c r="J530">
        <v>160.28</v>
      </c>
      <c r="K530">
        <v>40.619999999999997</v>
      </c>
    </row>
    <row r="531" spans="1:11" x14ac:dyDescent="0.3">
      <c r="A531" t="s">
        <v>568</v>
      </c>
      <c r="B531" s="1">
        <v>45921</v>
      </c>
      <c r="C531" t="s">
        <v>12</v>
      </c>
      <c r="D531" t="s">
        <v>13</v>
      </c>
      <c r="E531" t="s">
        <v>33</v>
      </c>
      <c r="F531" t="s">
        <v>15</v>
      </c>
      <c r="G531" t="s">
        <v>30</v>
      </c>
      <c r="H531">
        <v>4</v>
      </c>
      <c r="I531">
        <v>16802.62</v>
      </c>
      <c r="J531">
        <v>67210.48</v>
      </c>
      <c r="K531">
        <v>8829.32</v>
      </c>
    </row>
    <row r="532" spans="1:11" x14ac:dyDescent="0.3">
      <c r="A532" t="s">
        <v>569</v>
      </c>
      <c r="B532" s="1">
        <v>45765</v>
      </c>
      <c r="C532" t="s">
        <v>35</v>
      </c>
      <c r="D532" t="s">
        <v>13</v>
      </c>
      <c r="E532" t="s">
        <v>14</v>
      </c>
      <c r="F532" t="s">
        <v>15</v>
      </c>
      <c r="G532" t="s">
        <v>16</v>
      </c>
      <c r="H532">
        <v>2</v>
      </c>
      <c r="I532">
        <v>848.37</v>
      </c>
      <c r="J532">
        <v>1696.74</v>
      </c>
      <c r="K532">
        <v>342.39</v>
      </c>
    </row>
    <row r="533" spans="1:11" x14ac:dyDescent="0.3">
      <c r="A533" t="s">
        <v>570</v>
      </c>
      <c r="B533" s="1">
        <v>46017</v>
      </c>
      <c r="C533" t="s">
        <v>57</v>
      </c>
      <c r="D533" t="s">
        <v>13</v>
      </c>
      <c r="E533" t="s">
        <v>22</v>
      </c>
      <c r="F533" t="s">
        <v>15</v>
      </c>
      <c r="G533" t="s">
        <v>36</v>
      </c>
      <c r="H533">
        <v>3</v>
      </c>
      <c r="I533">
        <v>514.66</v>
      </c>
      <c r="J533">
        <v>1543.98</v>
      </c>
      <c r="K533">
        <v>209.46</v>
      </c>
    </row>
    <row r="534" spans="1:11" x14ac:dyDescent="0.3">
      <c r="A534" t="s">
        <v>571</v>
      </c>
      <c r="B534" s="1">
        <v>45827</v>
      </c>
      <c r="C534" t="s">
        <v>18</v>
      </c>
      <c r="D534" t="s">
        <v>13</v>
      </c>
      <c r="E534" t="s">
        <v>33</v>
      </c>
      <c r="F534" t="s">
        <v>15</v>
      </c>
      <c r="G534" t="s">
        <v>16</v>
      </c>
      <c r="H534">
        <v>1</v>
      </c>
      <c r="I534">
        <v>38255.85</v>
      </c>
      <c r="J534">
        <v>38255.85</v>
      </c>
      <c r="K534">
        <v>6637.55</v>
      </c>
    </row>
    <row r="535" spans="1:11" x14ac:dyDescent="0.3">
      <c r="A535" t="s">
        <v>572</v>
      </c>
      <c r="B535" s="1">
        <v>45774</v>
      </c>
      <c r="C535" t="s">
        <v>32</v>
      </c>
      <c r="D535" t="s">
        <v>21</v>
      </c>
      <c r="E535" t="s">
        <v>43</v>
      </c>
      <c r="F535" t="s">
        <v>15</v>
      </c>
      <c r="G535" t="s">
        <v>36</v>
      </c>
      <c r="H535">
        <v>1</v>
      </c>
      <c r="I535">
        <v>8912.0300000000007</v>
      </c>
      <c r="J535">
        <v>8912.0300000000007</v>
      </c>
      <c r="K535">
        <v>2449.41</v>
      </c>
    </row>
    <row r="536" spans="1:11" x14ac:dyDescent="0.3">
      <c r="A536" t="s">
        <v>573</v>
      </c>
      <c r="B536" s="1">
        <v>46002</v>
      </c>
      <c r="C536" t="s">
        <v>12</v>
      </c>
      <c r="D536" t="s">
        <v>13</v>
      </c>
      <c r="E536" t="s">
        <v>33</v>
      </c>
      <c r="F536" t="s">
        <v>15</v>
      </c>
      <c r="G536" t="s">
        <v>30</v>
      </c>
      <c r="H536">
        <v>2</v>
      </c>
      <c r="I536">
        <v>18509.12</v>
      </c>
      <c r="J536">
        <v>37018.239999999998</v>
      </c>
      <c r="K536">
        <v>8115.48</v>
      </c>
    </row>
    <row r="537" spans="1:11" x14ac:dyDescent="0.3">
      <c r="A537" t="s">
        <v>574</v>
      </c>
      <c r="B537" s="1">
        <v>45841</v>
      </c>
      <c r="C537" t="s">
        <v>50</v>
      </c>
      <c r="D537" t="s">
        <v>39</v>
      </c>
      <c r="E537" t="s">
        <v>14</v>
      </c>
      <c r="F537" t="s">
        <v>23</v>
      </c>
      <c r="G537" t="s">
        <v>36</v>
      </c>
      <c r="H537">
        <v>1</v>
      </c>
      <c r="I537">
        <v>370.08</v>
      </c>
      <c r="J537">
        <v>370.08</v>
      </c>
      <c r="K537">
        <v>111.63</v>
      </c>
    </row>
    <row r="538" spans="1:11" x14ac:dyDescent="0.3">
      <c r="A538" t="s">
        <v>575</v>
      </c>
      <c r="B538" s="1">
        <v>45853</v>
      </c>
      <c r="C538" t="s">
        <v>62</v>
      </c>
      <c r="D538" t="s">
        <v>63</v>
      </c>
      <c r="E538" t="s">
        <v>22</v>
      </c>
      <c r="F538" t="s">
        <v>15</v>
      </c>
      <c r="G538" t="s">
        <v>36</v>
      </c>
      <c r="H538">
        <v>3</v>
      </c>
      <c r="I538">
        <v>108.74</v>
      </c>
      <c r="J538">
        <v>326.22000000000003</v>
      </c>
      <c r="K538">
        <v>110.7</v>
      </c>
    </row>
    <row r="539" spans="1:11" x14ac:dyDescent="0.3">
      <c r="A539" t="s">
        <v>576</v>
      </c>
      <c r="B539" s="1">
        <v>45937</v>
      </c>
      <c r="C539" t="s">
        <v>32</v>
      </c>
      <c r="D539" t="s">
        <v>21</v>
      </c>
      <c r="E539" t="s">
        <v>43</v>
      </c>
      <c r="F539" t="s">
        <v>15</v>
      </c>
      <c r="G539" t="s">
        <v>16</v>
      </c>
      <c r="H539">
        <v>5</v>
      </c>
      <c r="I539">
        <v>8359.34</v>
      </c>
      <c r="J539">
        <v>41796.699999999997</v>
      </c>
      <c r="K539">
        <v>8522.5499999999993</v>
      </c>
    </row>
    <row r="540" spans="1:11" x14ac:dyDescent="0.3">
      <c r="A540" t="s">
        <v>577</v>
      </c>
      <c r="B540" s="1">
        <v>45942</v>
      </c>
      <c r="C540" t="s">
        <v>26</v>
      </c>
      <c r="D540" t="s">
        <v>13</v>
      </c>
      <c r="E540" t="s">
        <v>33</v>
      </c>
      <c r="F540" t="s">
        <v>15</v>
      </c>
      <c r="G540" t="s">
        <v>24</v>
      </c>
      <c r="H540">
        <v>1</v>
      </c>
      <c r="I540">
        <v>1621.81</v>
      </c>
      <c r="J540">
        <v>1621.81</v>
      </c>
      <c r="K540">
        <v>364.7</v>
      </c>
    </row>
    <row r="541" spans="1:11" x14ac:dyDescent="0.3">
      <c r="A541" t="s">
        <v>578</v>
      </c>
      <c r="B541" s="1">
        <v>45765</v>
      </c>
      <c r="C541" t="s">
        <v>57</v>
      </c>
      <c r="D541" t="s">
        <v>13</v>
      </c>
      <c r="E541" t="s">
        <v>33</v>
      </c>
      <c r="F541" t="s">
        <v>15</v>
      </c>
      <c r="G541" t="s">
        <v>51</v>
      </c>
      <c r="H541">
        <v>3</v>
      </c>
      <c r="I541">
        <v>522.59</v>
      </c>
      <c r="J541">
        <v>1567.77</v>
      </c>
      <c r="K541">
        <v>509.44</v>
      </c>
    </row>
    <row r="542" spans="1:11" x14ac:dyDescent="0.3">
      <c r="A542" t="s">
        <v>579</v>
      </c>
      <c r="B542" s="1">
        <v>45752</v>
      </c>
      <c r="C542" t="s">
        <v>20</v>
      </c>
      <c r="D542" t="s">
        <v>21</v>
      </c>
      <c r="E542" t="s">
        <v>33</v>
      </c>
      <c r="F542" t="s">
        <v>15</v>
      </c>
      <c r="G542" t="s">
        <v>16</v>
      </c>
      <c r="H542">
        <v>2</v>
      </c>
      <c r="I542">
        <v>6178.56</v>
      </c>
      <c r="J542">
        <v>12357.12</v>
      </c>
      <c r="K542">
        <v>4327.4399999999996</v>
      </c>
    </row>
    <row r="543" spans="1:11" x14ac:dyDescent="0.3">
      <c r="A543" t="s">
        <v>580</v>
      </c>
      <c r="B543" s="1">
        <v>45894</v>
      </c>
      <c r="C543" t="s">
        <v>35</v>
      </c>
      <c r="D543" t="s">
        <v>13</v>
      </c>
      <c r="E543" t="s">
        <v>14</v>
      </c>
      <c r="F543" t="s">
        <v>15</v>
      </c>
      <c r="G543" t="s">
        <v>16</v>
      </c>
      <c r="H543">
        <v>2</v>
      </c>
      <c r="I543">
        <v>862.32</v>
      </c>
      <c r="J543">
        <v>1724.64</v>
      </c>
      <c r="K543">
        <v>625.16</v>
      </c>
    </row>
    <row r="544" spans="1:11" x14ac:dyDescent="0.3">
      <c r="A544" t="s">
        <v>581</v>
      </c>
      <c r="B544" s="1">
        <v>45907</v>
      </c>
      <c r="C544" t="s">
        <v>117</v>
      </c>
      <c r="D544" t="s">
        <v>63</v>
      </c>
      <c r="E544" t="s">
        <v>43</v>
      </c>
      <c r="F544" t="s">
        <v>15</v>
      </c>
      <c r="G544" t="s">
        <v>51</v>
      </c>
      <c r="H544">
        <v>1</v>
      </c>
      <c r="I544">
        <v>82.74</v>
      </c>
      <c r="J544">
        <v>82.74</v>
      </c>
      <c r="K544">
        <v>26.4</v>
      </c>
    </row>
    <row r="545" spans="1:11" x14ac:dyDescent="0.3">
      <c r="A545" t="s">
        <v>582</v>
      </c>
      <c r="B545" s="1">
        <v>45820</v>
      </c>
      <c r="C545" t="s">
        <v>38</v>
      </c>
      <c r="D545" t="s">
        <v>39</v>
      </c>
      <c r="E545" t="s">
        <v>33</v>
      </c>
      <c r="F545" t="s">
        <v>15</v>
      </c>
      <c r="G545" t="s">
        <v>16</v>
      </c>
      <c r="H545">
        <v>2</v>
      </c>
      <c r="I545">
        <v>1227.92</v>
      </c>
      <c r="J545">
        <v>2455.84</v>
      </c>
      <c r="K545">
        <v>738.04</v>
      </c>
    </row>
    <row r="546" spans="1:11" x14ac:dyDescent="0.3">
      <c r="A546" t="s">
        <v>583</v>
      </c>
      <c r="B546" s="1">
        <v>45948</v>
      </c>
      <c r="C546" t="s">
        <v>117</v>
      </c>
      <c r="D546" t="s">
        <v>63</v>
      </c>
      <c r="E546" t="s">
        <v>43</v>
      </c>
      <c r="F546" t="s">
        <v>15</v>
      </c>
      <c r="G546" t="s">
        <v>51</v>
      </c>
      <c r="H546">
        <v>3</v>
      </c>
      <c r="I546">
        <v>87.34</v>
      </c>
      <c r="J546">
        <v>262.02</v>
      </c>
      <c r="K546">
        <v>88.08</v>
      </c>
    </row>
    <row r="547" spans="1:11" x14ac:dyDescent="0.3">
      <c r="A547" t="s">
        <v>584</v>
      </c>
      <c r="B547" s="1">
        <v>46022</v>
      </c>
      <c r="C547" t="s">
        <v>57</v>
      </c>
      <c r="D547" t="s">
        <v>13</v>
      </c>
      <c r="E547" t="s">
        <v>43</v>
      </c>
      <c r="F547" t="s">
        <v>23</v>
      </c>
      <c r="G547" t="s">
        <v>36</v>
      </c>
      <c r="H547">
        <v>2</v>
      </c>
      <c r="I547">
        <v>477.67</v>
      </c>
      <c r="J547">
        <v>955.34</v>
      </c>
      <c r="K547">
        <v>273.74</v>
      </c>
    </row>
    <row r="548" spans="1:11" x14ac:dyDescent="0.3">
      <c r="A548" t="s">
        <v>585</v>
      </c>
      <c r="B548" s="1">
        <v>45886</v>
      </c>
      <c r="C548" t="s">
        <v>117</v>
      </c>
      <c r="D548" t="s">
        <v>63</v>
      </c>
      <c r="E548" t="s">
        <v>33</v>
      </c>
      <c r="F548" t="s">
        <v>15</v>
      </c>
      <c r="G548" t="s">
        <v>24</v>
      </c>
      <c r="H548">
        <v>3</v>
      </c>
      <c r="I548">
        <v>79.790000000000006</v>
      </c>
      <c r="J548">
        <v>239.37</v>
      </c>
      <c r="K548">
        <v>84.19</v>
      </c>
    </row>
    <row r="549" spans="1:11" x14ac:dyDescent="0.3">
      <c r="A549" t="s">
        <v>586</v>
      </c>
      <c r="B549" s="1">
        <v>45729</v>
      </c>
      <c r="C549" t="s">
        <v>50</v>
      </c>
      <c r="D549" t="s">
        <v>39</v>
      </c>
      <c r="E549" t="s">
        <v>14</v>
      </c>
      <c r="F549" t="s">
        <v>15</v>
      </c>
      <c r="G549" t="s">
        <v>16</v>
      </c>
      <c r="H549">
        <v>1</v>
      </c>
      <c r="I549">
        <v>366.35</v>
      </c>
      <c r="J549">
        <v>366.35</v>
      </c>
      <c r="K549">
        <v>79.53</v>
      </c>
    </row>
    <row r="550" spans="1:11" x14ac:dyDescent="0.3">
      <c r="A550" t="s">
        <v>587</v>
      </c>
      <c r="B550" s="1">
        <v>45981</v>
      </c>
      <c r="C550" t="s">
        <v>18</v>
      </c>
      <c r="D550" t="s">
        <v>13</v>
      </c>
      <c r="E550" t="s">
        <v>22</v>
      </c>
      <c r="F550" t="s">
        <v>15</v>
      </c>
      <c r="G550" t="s">
        <v>16</v>
      </c>
      <c r="H550">
        <v>3</v>
      </c>
      <c r="I550">
        <v>42662.77</v>
      </c>
      <c r="J550">
        <v>127988.31</v>
      </c>
      <c r="K550">
        <v>23038.91</v>
      </c>
    </row>
    <row r="551" spans="1:11" x14ac:dyDescent="0.3">
      <c r="A551" t="s">
        <v>588</v>
      </c>
      <c r="B551" s="1">
        <v>45791</v>
      </c>
      <c r="C551" t="s">
        <v>50</v>
      </c>
      <c r="D551" t="s">
        <v>39</v>
      </c>
      <c r="E551" t="s">
        <v>22</v>
      </c>
      <c r="F551" t="s">
        <v>23</v>
      </c>
      <c r="G551" t="s">
        <v>36</v>
      </c>
      <c r="H551">
        <v>4</v>
      </c>
      <c r="I551">
        <v>352.78</v>
      </c>
      <c r="J551">
        <v>1411.12</v>
      </c>
      <c r="K551">
        <v>296.31</v>
      </c>
    </row>
    <row r="552" spans="1:11" x14ac:dyDescent="0.3">
      <c r="A552" t="s">
        <v>589</v>
      </c>
      <c r="B552" s="1">
        <v>45772</v>
      </c>
      <c r="C552" t="s">
        <v>29</v>
      </c>
      <c r="D552" t="s">
        <v>13</v>
      </c>
      <c r="E552" t="s">
        <v>33</v>
      </c>
      <c r="F552" t="s">
        <v>15</v>
      </c>
      <c r="G552" t="s">
        <v>36</v>
      </c>
      <c r="H552">
        <v>3</v>
      </c>
      <c r="I552">
        <v>11498.4</v>
      </c>
      <c r="J552">
        <v>34495.199999999997</v>
      </c>
      <c r="K552">
        <v>8940.39</v>
      </c>
    </row>
    <row r="553" spans="1:11" x14ac:dyDescent="0.3">
      <c r="A553" t="s">
        <v>590</v>
      </c>
      <c r="B553" s="1">
        <v>45844</v>
      </c>
      <c r="C553" t="s">
        <v>50</v>
      </c>
      <c r="D553" t="s">
        <v>39</v>
      </c>
      <c r="E553" t="s">
        <v>33</v>
      </c>
      <c r="F553" t="s">
        <v>15</v>
      </c>
      <c r="G553" t="s">
        <v>16</v>
      </c>
      <c r="H553">
        <v>1</v>
      </c>
      <c r="I553">
        <v>331.72</v>
      </c>
      <c r="J553">
        <v>331.72</v>
      </c>
      <c r="K553">
        <v>42.91</v>
      </c>
    </row>
    <row r="554" spans="1:11" x14ac:dyDescent="0.3">
      <c r="A554" t="s">
        <v>591</v>
      </c>
      <c r="B554" s="1">
        <v>45729</v>
      </c>
      <c r="C554" t="s">
        <v>38</v>
      </c>
      <c r="D554" t="s">
        <v>39</v>
      </c>
      <c r="E554" t="s">
        <v>22</v>
      </c>
      <c r="F554" t="s">
        <v>23</v>
      </c>
      <c r="G554" t="s">
        <v>24</v>
      </c>
      <c r="H554">
        <v>1</v>
      </c>
      <c r="I554">
        <v>1215.93</v>
      </c>
      <c r="J554">
        <v>1215.93</v>
      </c>
      <c r="K554">
        <v>283.18</v>
      </c>
    </row>
    <row r="555" spans="1:11" x14ac:dyDescent="0.3">
      <c r="A555" t="s">
        <v>592</v>
      </c>
      <c r="B555" s="1">
        <v>45678</v>
      </c>
      <c r="C555" t="s">
        <v>20</v>
      </c>
      <c r="D555" t="s">
        <v>21</v>
      </c>
      <c r="E555" t="s">
        <v>22</v>
      </c>
      <c r="F555" t="s">
        <v>15</v>
      </c>
      <c r="G555" t="s">
        <v>51</v>
      </c>
      <c r="H555">
        <v>3</v>
      </c>
      <c r="I555">
        <v>6151.27</v>
      </c>
      <c r="J555">
        <v>18453.810000000001</v>
      </c>
      <c r="K555">
        <v>5744.06</v>
      </c>
    </row>
    <row r="556" spans="1:11" x14ac:dyDescent="0.3">
      <c r="A556" t="s">
        <v>593</v>
      </c>
      <c r="B556" s="1">
        <v>45923</v>
      </c>
      <c r="C556" t="s">
        <v>117</v>
      </c>
      <c r="D556" t="s">
        <v>63</v>
      </c>
      <c r="E556" t="s">
        <v>14</v>
      </c>
      <c r="F556" t="s">
        <v>23</v>
      </c>
      <c r="G556" t="s">
        <v>30</v>
      </c>
      <c r="H556">
        <v>1</v>
      </c>
      <c r="I556">
        <v>86.69</v>
      </c>
      <c r="J556">
        <v>86.69</v>
      </c>
      <c r="K556">
        <v>13.07</v>
      </c>
    </row>
    <row r="557" spans="1:11" x14ac:dyDescent="0.3">
      <c r="A557" t="s">
        <v>594</v>
      </c>
      <c r="B557" s="1">
        <v>46018</v>
      </c>
      <c r="C557" t="s">
        <v>50</v>
      </c>
      <c r="D557" t="s">
        <v>39</v>
      </c>
      <c r="E557" t="s">
        <v>33</v>
      </c>
      <c r="F557" t="s">
        <v>15</v>
      </c>
      <c r="G557" t="s">
        <v>36</v>
      </c>
      <c r="H557">
        <v>2</v>
      </c>
      <c r="I557">
        <v>334.14</v>
      </c>
      <c r="J557">
        <v>668.28</v>
      </c>
      <c r="K557">
        <v>125.04</v>
      </c>
    </row>
    <row r="558" spans="1:11" x14ac:dyDescent="0.3">
      <c r="A558" t="s">
        <v>595</v>
      </c>
      <c r="B558" s="1">
        <v>45992</v>
      </c>
      <c r="C558" t="s">
        <v>62</v>
      </c>
      <c r="D558" t="s">
        <v>63</v>
      </c>
      <c r="E558" t="s">
        <v>33</v>
      </c>
      <c r="F558" t="s">
        <v>23</v>
      </c>
      <c r="G558" t="s">
        <v>36</v>
      </c>
      <c r="H558">
        <v>1</v>
      </c>
      <c r="I558">
        <v>123.68</v>
      </c>
      <c r="J558">
        <v>123.68</v>
      </c>
      <c r="K558">
        <v>20.13</v>
      </c>
    </row>
    <row r="559" spans="1:11" x14ac:dyDescent="0.3">
      <c r="A559" t="s">
        <v>596</v>
      </c>
      <c r="B559" s="1">
        <v>45772</v>
      </c>
      <c r="C559" t="s">
        <v>50</v>
      </c>
      <c r="D559" t="s">
        <v>39</v>
      </c>
      <c r="E559" t="s">
        <v>27</v>
      </c>
      <c r="F559" t="s">
        <v>15</v>
      </c>
      <c r="G559" t="s">
        <v>16</v>
      </c>
      <c r="H559">
        <v>1</v>
      </c>
      <c r="I559">
        <v>372.21</v>
      </c>
      <c r="J559">
        <v>372.21</v>
      </c>
      <c r="K559">
        <v>108.05</v>
      </c>
    </row>
    <row r="560" spans="1:11" x14ac:dyDescent="0.3">
      <c r="A560" t="s">
        <v>597</v>
      </c>
      <c r="B560" s="1">
        <v>45729</v>
      </c>
      <c r="C560" t="s">
        <v>38</v>
      </c>
      <c r="D560" t="s">
        <v>39</v>
      </c>
      <c r="E560" t="s">
        <v>22</v>
      </c>
      <c r="F560" t="s">
        <v>15</v>
      </c>
      <c r="G560" t="s">
        <v>51</v>
      </c>
      <c r="H560">
        <v>1</v>
      </c>
      <c r="I560">
        <v>1098.5</v>
      </c>
      <c r="J560">
        <v>1098.5</v>
      </c>
      <c r="K560">
        <v>233.65</v>
      </c>
    </row>
    <row r="561" spans="1:11" x14ac:dyDescent="0.3">
      <c r="A561" t="s">
        <v>598</v>
      </c>
      <c r="B561" s="1">
        <v>45738</v>
      </c>
      <c r="C561" t="s">
        <v>117</v>
      </c>
      <c r="D561" t="s">
        <v>63</v>
      </c>
      <c r="E561" t="s">
        <v>27</v>
      </c>
      <c r="F561" t="s">
        <v>23</v>
      </c>
      <c r="G561" t="s">
        <v>30</v>
      </c>
      <c r="H561">
        <v>2</v>
      </c>
      <c r="I561">
        <v>85.07</v>
      </c>
      <c r="J561">
        <v>170.14</v>
      </c>
      <c r="K561">
        <v>35.409999999999997</v>
      </c>
    </row>
    <row r="562" spans="1:11" x14ac:dyDescent="0.3">
      <c r="A562" t="s">
        <v>599</v>
      </c>
      <c r="B562" s="1">
        <v>45904</v>
      </c>
      <c r="C562" t="s">
        <v>35</v>
      </c>
      <c r="D562" t="s">
        <v>13</v>
      </c>
      <c r="E562" t="s">
        <v>27</v>
      </c>
      <c r="F562" t="s">
        <v>15</v>
      </c>
      <c r="G562" t="s">
        <v>51</v>
      </c>
      <c r="H562">
        <v>2</v>
      </c>
      <c r="I562">
        <v>847.93</v>
      </c>
      <c r="J562">
        <v>1695.86</v>
      </c>
      <c r="K562">
        <v>573.33000000000004</v>
      </c>
    </row>
    <row r="563" spans="1:11" x14ac:dyDescent="0.3">
      <c r="A563" t="s">
        <v>600</v>
      </c>
      <c r="B563" s="1">
        <v>45680</v>
      </c>
      <c r="C563" t="s">
        <v>26</v>
      </c>
      <c r="D563" t="s">
        <v>13</v>
      </c>
      <c r="E563" t="s">
        <v>14</v>
      </c>
      <c r="F563" t="s">
        <v>15</v>
      </c>
      <c r="G563" t="s">
        <v>30</v>
      </c>
      <c r="H563">
        <v>2</v>
      </c>
      <c r="I563">
        <v>1678.01</v>
      </c>
      <c r="J563">
        <v>3356.02</v>
      </c>
      <c r="K563">
        <v>725.97</v>
      </c>
    </row>
    <row r="564" spans="1:11" x14ac:dyDescent="0.3">
      <c r="A564" t="s">
        <v>601</v>
      </c>
      <c r="B564" s="1">
        <v>45743</v>
      </c>
      <c r="C564" t="s">
        <v>32</v>
      </c>
      <c r="D564" t="s">
        <v>21</v>
      </c>
      <c r="E564" t="s">
        <v>33</v>
      </c>
      <c r="F564" t="s">
        <v>15</v>
      </c>
      <c r="G564" t="s">
        <v>24</v>
      </c>
      <c r="H564">
        <v>4</v>
      </c>
      <c r="I564">
        <v>9029.9500000000007</v>
      </c>
      <c r="J564">
        <v>36119.800000000003</v>
      </c>
      <c r="K564">
        <v>9917.82</v>
      </c>
    </row>
    <row r="565" spans="1:11" x14ac:dyDescent="0.3">
      <c r="A565" t="s">
        <v>602</v>
      </c>
      <c r="B565" s="1">
        <v>45701</v>
      </c>
      <c r="C565" t="s">
        <v>20</v>
      </c>
      <c r="D565" t="s">
        <v>21</v>
      </c>
      <c r="E565" t="s">
        <v>22</v>
      </c>
      <c r="F565" t="s">
        <v>15</v>
      </c>
      <c r="G565" t="s">
        <v>36</v>
      </c>
      <c r="H565">
        <v>2</v>
      </c>
      <c r="I565">
        <v>7140.61</v>
      </c>
      <c r="J565">
        <v>14281.22</v>
      </c>
      <c r="K565">
        <v>2206.4699999999998</v>
      </c>
    </row>
    <row r="566" spans="1:11" x14ac:dyDescent="0.3">
      <c r="A566" t="s">
        <v>603</v>
      </c>
      <c r="B566" s="1">
        <v>45965</v>
      </c>
      <c r="C566" t="s">
        <v>26</v>
      </c>
      <c r="D566" t="s">
        <v>13</v>
      </c>
      <c r="E566" t="s">
        <v>33</v>
      </c>
      <c r="F566" t="s">
        <v>23</v>
      </c>
      <c r="G566" t="s">
        <v>51</v>
      </c>
      <c r="H566">
        <v>3</v>
      </c>
      <c r="I566">
        <v>1915.36</v>
      </c>
      <c r="J566">
        <v>5746.08</v>
      </c>
      <c r="K566">
        <v>1911.78</v>
      </c>
    </row>
    <row r="567" spans="1:11" x14ac:dyDescent="0.3">
      <c r="A567" t="s">
        <v>604</v>
      </c>
      <c r="B567" s="1">
        <v>46009</v>
      </c>
      <c r="C567" t="s">
        <v>117</v>
      </c>
      <c r="D567" t="s">
        <v>63</v>
      </c>
      <c r="E567" t="s">
        <v>27</v>
      </c>
      <c r="F567" t="s">
        <v>23</v>
      </c>
      <c r="G567" t="s">
        <v>51</v>
      </c>
      <c r="H567">
        <v>4</v>
      </c>
      <c r="I567">
        <v>81.540000000000006</v>
      </c>
      <c r="J567">
        <v>326.16000000000003</v>
      </c>
      <c r="K567">
        <v>118.1</v>
      </c>
    </row>
    <row r="568" spans="1:11" x14ac:dyDescent="0.3">
      <c r="A568" t="s">
        <v>605</v>
      </c>
      <c r="B568" s="1">
        <v>45713</v>
      </c>
      <c r="C568" t="s">
        <v>18</v>
      </c>
      <c r="D568" t="s">
        <v>13</v>
      </c>
      <c r="E568" t="s">
        <v>27</v>
      </c>
      <c r="F568" t="s">
        <v>15</v>
      </c>
      <c r="G568" t="s">
        <v>16</v>
      </c>
      <c r="H568">
        <v>1</v>
      </c>
      <c r="I568">
        <v>45020.57</v>
      </c>
      <c r="J568">
        <v>45020.57</v>
      </c>
      <c r="K568">
        <v>11204.11</v>
      </c>
    </row>
    <row r="569" spans="1:11" x14ac:dyDescent="0.3">
      <c r="A569" t="s">
        <v>606</v>
      </c>
      <c r="B569" s="1">
        <v>45707</v>
      </c>
      <c r="C569" t="s">
        <v>26</v>
      </c>
      <c r="D569" t="s">
        <v>13</v>
      </c>
      <c r="E569" t="s">
        <v>33</v>
      </c>
      <c r="F569" t="s">
        <v>15</v>
      </c>
      <c r="G569" t="s">
        <v>30</v>
      </c>
      <c r="H569">
        <v>2</v>
      </c>
      <c r="I569">
        <v>1841.31</v>
      </c>
      <c r="J569">
        <v>3682.62</v>
      </c>
      <c r="K569">
        <v>1362.02</v>
      </c>
    </row>
    <row r="570" spans="1:11" x14ac:dyDescent="0.3">
      <c r="A570" t="s">
        <v>607</v>
      </c>
      <c r="B570" s="1">
        <v>45904</v>
      </c>
      <c r="C570" t="s">
        <v>35</v>
      </c>
      <c r="D570" t="s">
        <v>13</v>
      </c>
      <c r="E570" t="s">
        <v>27</v>
      </c>
      <c r="F570" t="s">
        <v>23</v>
      </c>
      <c r="G570" t="s">
        <v>24</v>
      </c>
      <c r="H570">
        <v>1</v>
      </c>
      <c r="I570">
        <v>918.63</v>
      </c>
      <c r="J570">
        <v>918.63</v>
      </c>
      <c r="K570">
        <v>151.43</v>
      </c>
    </row>
    <row r="571" spans="1:11" x14ac:dyDescent="0.3">
      <c r="A571" t="s">
        <v>608</v>
      </c>
      <c r="B571" s="1">
        <v>45680</v>
      </c>
      <c r="C571" t="s">
        <v>57</v>
      </c>
      <c r="D571" t="s">
        <v>13</v>
      </c>
      <c r="E571" t="s">
        <v>27</v>
      </c>
      <c r="F571" t="s">
        <v>23</v>
      </c>
      <c r="G571" t="s">
        <v>16</v>
      </c>
      <c r="H571">
        <v>2</v>
      </c>
      <c r="I571">
        <v>472.95</v>
      </c>
      <c r="J571">
        <v>945.9</v>
      </c>
      <c r="K571">
        <v>162.13</v>
      </c>
    </row>
    <row r="572" spans="1:11" x14ac:dyDescent="0.3">
      <c r="A572" t="s">
        <v>609</v>
      </c>
      <c r="B572" s="1">
        <v>46014</v>
      </c>
      <c r="C572" t="s">
        <v>29</v>
      </c>
      <c r="D572" t="s">
        <v>13</v>
      </c>
      <c r="E572" t="s">
        <v>22</v>
      </c>
      <c r="F572" t="s">
        <v>15</v>
      </c>
      <c r="G572" t="s">
        <v>24</v>
      </c>
      <c r="H572">
        <v>1</v>
      </c>
      <c r="I572">
        <v>11121.32</v>
      </c>
      <c r="J572">
        <v>11121.32</v>
      </c>
      <c r="K572">
        <v>2846.43</v>
      </c>
    </row>
    <row r="573" spans="1:11" x14ac:dyDescent="0.3">
      <c r="A573" t="s">
        <v>610</v>
      </c>
      <c r="B573" s="1">
        <v>45964</v>
      </c>
      <c r="C573" t="s">
        <v>50</v>
      </c>
      <c r="D573" t="s">
        <v>39</v>
      </c>
      <c r="E573" t="s">
        <v>14</v>
      </c>
      <c r="F573" t="s">
        <v>15</v>
      </c>
      <c r="G573" t="s">
        <v>16</v>
      </c>
      <c r="H573">
        <v>1</v>
      </c>
      <c r="I573">
        <v>328.23</v>
      </c>
      <c r="J573">
        <v>328.23</v>
      </c>
      <c r="K573">
        <v>64.209999999999994</v>
      </c>
    </row>
    <row r="574" spans="1:11" x14ac:dyDescent="0.3">
      <c r="A574" t="s">
        <v>611</v>
      </c>
      <c r="B574" s="1">
        <v>45661</v>
      </c>
      <c r="C574" t="s">
        <v>62</v>
      </c>
      <c r="D574" t="s">
        <v>63</v>
      </c>
      <c r="E574" t="s">
        <v>43</v>
      </c>
      <c r="F574" t="s">
        <v>15</v>
      </c>
      <c r="G574" t="s">
        <v>51</v>
      </c>
      <c r="H574">
        <v>2</v>
      </c>
      <c r="I574">
        <v>124.51</v>
      </c>
      <c r="J574">
        <v>249.02</v>
      </c>
      <c r="K574">
        <v>74.17</v>
      </c>
    </row>
    <row r="575" spans="1:11" x14ac:dyDescent="0.3">
      <c r="A575" t="s">
        <v>612</v>
      </c>
      <c r="B575" s="1">
        <v>45876</v>
      </c>
      <c r="C575" t="s">
        <v>35</v>
      </c>
      <c r="D575" t="s">
        <v>13</v>
      </c>
      <c r="E575" t="s">
        <v>33</v>
      </c>
      <c r="F575" t="s">
        <v>23</v>
      </c>
      <c r="G575" t="s">
        <v>16</v>
      </c>
      <c r="H575">
        <v>2</v>
      </c>
      <c r="I575">
        <v>857.03</v>
      </c>
      <c r="J575">
        <v>1714.06</v>
      </c>
      <c r="K575">
        <v>412.42</v>
      </c>
    </row>
    <row r="576" spans="1:11" x14ac:dyDescent="0.3">
      <c r="A576" t="s">
        <v>613</v>
      </c>
      <c r="B576" s="1">
        <v>45799</v>
      </c>
      <c r="C576" t="s">
        <v>35</v>
      </c>
      <c r="D576" t="s">
        <v>13</v>
      </c>
      <c r="E576" t="s">
        <v>33</v>
      </c>
      <c r="F576" t="s">
        <v>23</v>
      </c>
      <c r="G576" t="s">
        <v>51</v>
      </c>
      <c r="H576">
        <v>1</v>
      </c>
      <c r="I576">
        <v>846.66</v>
      </c>
      <c r="J576">
        <v>846.66</v>
      </c>
      <c r="K576">
        <v>200.2</v>
      </c>
    </row>
    <row r="577" spans="1:11" x14ac:dyDescent="0.3">
      <c r="A577" t="s">
        <v>614</v>
      </c>
      <c r="B577" s="1">
        <v>45847</v>
      </c>
      <c r="C577" t="s">
        <v>50</v>
      </c>
      <c r="D577" t="s">
        <v>39</v>
      </c>
      <c r="E577" t="s">
        <v>43</v>
      </c>
      <c r="F577" t="s">
        <v>23</v>
      </c>
      <c r="G577" t="s">
        <v>51</v>
      </c>
      <c r="H577">
        <v>2</v>
      </c>
      <c r="I577">
        <v>332.76</v>
      </c>
      <c r="J577">
        <v>665.52</v>
      </c>
      <c r="K577">
        <v>199.84</v>
      </c>
    </row>
    <row r="578" spans="1:11" x14ac:dyDescent="0.3">
      <c r="A578" t="s">
        <v>615</v>
      </c>
      <c r="B578" s="1">
        <v>45995</v>
      </c>
      <c r="C578" t="s">
        <v>12</v>
      </c>
      <c r="D578" t="s">
        <v>13</v>
      </c>
      <c r="E578" t="s">
        <v>22</v>
      </c>
      <c r="F578" t="s">
        <v>15</v>
      </c>
      <c r="G578" t="s">
        <v>51</v>
      </c>
      <c r="H578">
        <v>3</v>
      </c>
      <c r="I578">
        <v>17807.740000000002</v>
      </c>
      <c r="J578">
        <v>53423.22</v>
      </c>
      <c r="K578">
        <v>10587.36</v>
      </c>
    </row>
    <row r="579" spans="1:11" x14ac:dyDescent="0.3">
      <c r="A579" t="s">
        <v>616</v>
      </c>
      <c r="B579" s="1">
        <v>45918</v>
      </c>
      <c r="C579" t="s">
        <v>62</v>
      </c>
      <c r="D579" t="s">
        <v>63</v>
      </c>
      <c r="E579" t="s">
        <v>14</v>
      </c>
      <c r="F579" t="s">
        <v>15</v>
      </c>
      <c r="G579" t="s">
        <v>36</v>
      </c>
      <c r="H579">
        <v>3</v>
      </c>
      <c r="I579">
        <v>127.22</v>
      </c>
      <c r="J579">
        <v>381.66</v>
      </c>
      <c r="K579">
        <v>84.1</v>
      </c>
    </row>
    <row r="580" spans="1:11" x14ac:dyDescent="0.3">
      <c r="A580" t="s">
        <v>617</v>
      </c>
      <c r="B580" s="1">
        <v>45983</v>
      </c>
      <c r="C580" t="s">
        <v>18</v>
      </c>
      <c r="D580" t="s">
        <v>13</v>
      </c>
      <c r="E580" t="s">
        <v>33</v>
      </c>
      <c r="F580" t="s">
        <v>23</v>
      </c>
      <c r="G580" t="s">
        <v>30</v>
      </c>
      <c r="H580">
        <v>3</v>
      </c>
      <c r="I580">
        <v>44715.35</v>
      </c>
      <c r="J580">
        <v>134146.04999999999</v>
      </c>
      <c r="K580">
        <v>34524.65</v>
      </c>
    </row>
    <row r="581" spans="1:11" x14ac:dyDescent="0.3">
      <c r="A581" t="s">
        <v>618</v>
      </c>
      <c r="B581" s="1">
        <v>45690</v>
      </c>
      <c r="C581" t="s">
        <v>32</v>
      </c>
      <c r="D581" t="s">
        <v>21</v>
      </c>
      <c r="E581" t="s">
        <v>27</v>
      </c>
      <c r="F581" t="s">
        <v>23</v>
      </c>
      <c r="G581" t="s">
        <v>16</v>
      </c>
      <c r="H581">
        <v>1</v>
      </c>
      <c r="I581">
        <v>8244.07</v>
      </c>
      <c r="J581">
        <v>8244.07</v>
      </c>
      <c r="K581">
        <v>3051.82</v>
      </c>
    </row>
    <row r="582" spans="1:11" x14ac:dyDescent="0.3">
      <c r="A582" t="s">
        <v>619</v>
      </c>
      <c r="B582" s="1">
        <v>45993</v>
      </c>
      <c r="C582" t="s">
        <v>50</v>
      </c>
      <c r="D582" t="s">
        <v>39</v>
      </c>
      <c r="E582" t="s">
        <v>22</v>
      </c>
      <c r="F582" t="s">
        <v>23</v>
      </c>
      <c r="G582" t="s">
        <v>36</v>
      </c>
      <c r="H582">
        <v>1</v>
      </c>
      <c r="I582">
        <v>382.45</v>
      </c>
      <c r="J582">
        <v>382.45</v>
      </c>
      <c r="K582">
        <v>139.62</v>
      </c>
    </row>
    <row r="583" spans="1:11" x14ac:dyDescent="0.3">
      <c r="A583" t="s">
        <v>620</v>
      </c>
      <c r="B583" s="1">
        <v>45663</v>
      </c>
      <c r="C583" t="s">
        <v>20</v>
      </c>
      <c r="D583" t="s">
        <v>21</v>
      </c>
      <c r="E583" t="s">
        <v>22</v>
      </c>
      <c r="F583" t="s">
        <v>15</v>
      </c>
      <c r="G583" t="s">
        <v>16</v>
      </c>
      <c r="H583">
        <v>3</v>
      </c>
      <c r="I583">
        <v>7059.99</v>
      </c>
      <c r="J583">
        <v>21179.97</v>
      </c>
      <c r="K583">
        <v>5195.03</v>
      </c>
    </row>
    <row r="584" spans="1:11" x14ac:dyDescent="0.3">
      <c r="A584" t="s">
        <v>621</v>
      </c>
      <c r="B584" s="1">
        <v>45919</v>
      </c>
      <c r="C584" t="s">
        <v>50</v>
      </c>
      <c r="D584" t="s">
        <v>39</v>
      </c>
      <c r="E584" t="s">
        <v>43</v>
      </c>
      <c r="F584" t="s">
        <v>15</v>
      </c>
      <c r="G584" t="s">
        <v>30</v>
      </c>
      <c r="H584">
        <v>2</v>
      </c>
      <c r="I584">
        <v>358.06</v>
      </c>
      <c r="J584">
        <v>716.12</v>
      </c>
      <c r="K584">
        <v>146.63</v>
      </c>
    </row>
    <row r="585" spans="1:11" x14ac:dyDescent="0.3">
      <c r="A585" t="s">
        <v>622</v>
      </c>
      <c r="B585" s="1">
        <v>45738</v>
      </c>
      <c r="C585" t="s">
        <v>12</v>
      </c>
      <c r="D585" t="s">
        <v>13</v>
      </c>
      <c r="E585" t="s">
        <v>27</v>
      </c>
      <c r="F585" t="s">
        <v>23</v>
      </c>
      <c r="G585" t="s">
        <v>16</v>
      </c>
      <c r="H585">
        <v>5</v>
      </c>
      <c r="I585">
        <v>19006.82</v>
      </c>
      <c r="J585">
        <v>95034.1</v>
      </c>
      <c r="K585">
        <v>27387.57</v>
      </c>
    </row>
    <row r="586" spans="1:11" x14ac:dyDescent="0.3">
      <c r="A586" t="s">
        <v>623</v>
      </c>
      <c r="B586" s="1">
        <v>45760</v>
      </c>
      <c r="C586" t="s">
        <v>50</v>
      </c>
      <c r="D586" t="s">
        <v>39</v>
      </c>
      <c r="E586" t="s">
        <v>33</v>
      </c>
      <c r="F586" t="s">
        <v>23</v>
      </c>
      <c r="G586" t="s">
        <v>16</v>
      </c>
      <c r="H586">
        <v>1</v>
      </c>
      <c r="I586">
        <v>364.25</v>
      </c>
      <c r="J586">
        <v>364.25</v>
      </c>
      <c r="K586">
        <v>51.36</v>
      </c>
    </row>
    <row r="587" spans="1:11" x14ac:dyDescent="0.3">
      <c r="A587" t="s">
        <v>624</v>
      </c>
      <c r="B587" s="1">
        <v>45956</v>
      </c>
      <c r="C587" t="s">
        <v>117</v>
      </c>
      <c r="D587" t="s">
        <v>63</v>
      </c>
      <c r="E587" t="s">
        <v>22</v>
      </c>
      <c r="F587" t="s">
        <v>23</v>
      </c>
      <c r="G587" t="s">
        <v>36</v>
      </c>
      <c r="H587">
        <v>1</v>
      </c>
      <c r="I587">
        <v>85.05</v>
      </c>
      <c r="J587">
        <v>85.05</v>
      </c>
      <c r="K587">
        <v>27.31</v>
      </c>
    </row>
    <row r="588" spans="1:11" x14ac:dyDescent="0.3">
      <c r="A588" t="s">
        <v>625</v>
      </c>
      <c r="B588" s="1">
        <v>45952</v>
      </c>
      <c r="C588" t="s">
        <v>18</v>
      </c>
      <c r="D588" t="s">
        <v>13</v>
      </c>
      <c r="E588" t="s">
        <v>14</v>
      </c>
      <c r="F588" t="s">
        <v>23</v>
      </c>
      <c r="G588" t="s">
        <v>24</v>
      </c>
      <c r="H588">
        <v>1</v>
      </c>
      <c r="I588">
        <v>41219.93</v>
      </c>
      <c r="J588">
        <v>41219.93</v>
      </c>
      <c r="K588">
        <v>14522.57</v>
      </c>
    </row>
    <row r="589" spans="1:11" x14ac:dyDescent="0.3">
      <c r="A589" t="s">
        <v>626</v>
      </c>
      <c r="B589" s="1">
        <v>45717</v>
      </c>
      <c r="C589" t="s">
        <v>50</v>
      </c>
      <c r="D589" t="s">
        <v>39</v>
      </c>
      <c r="E589" t="s">
        <v>33</v>
      </c>
      <c r="F589" t="s">
        <v>23</v>
      </c>
      <c r="G589" t="s">
        <v>36</v>
      </c>
      <c r="H589">
        <v>5</v>
      </c>
      <c r="I589">
        <v>376.33</v>
      </c>
      <c r="J589">
        <v>1881.65</v>
      </c>
      <c r="K589">
        <v>317.20999999999998</v>
      </c>
    </row>
    <row r="590" spans="1:11" x14ac:dyDescent="0.3">
      <c r="A590" t="s">
        <v>627</v>
      </c>
      <c r="B590" s="1">
        <v>45851</v>
      </c>
      <c r="C590" t="s">
        <v>29</v>
      </c>
      <c r="D590" t="s">
        <v>13</v>
      </c>
      <c r="E590" t="s">
        <v>27</v>
      </c>
      <c r="F590" t="s">
        <v>23</v>
      </c>
      <c r="G590" t="s">
        <v>16</v>
      </c>
      <c r="H590">
        <v>2</v>
      </c>
      <c r="I590">
        <v>11383.86</v>
      </c>
      <c r="J590">
        <v>22767.72</v>
      </c>
      <c r="K590">
        <v>6641.08</v>
      </c>
    </row>
    <row r="591" spans="1:11" x14ac:dyDescent="0.3">
      <c r="A591" t="s">
        <v>628</v>
      </c>
      <c r="B591" s="1">
        <v>45672</v>
      </c>
      <c r="C591" t="s">
        <v>38</v>
      </c>
      <c r="D591" t="s">
        <v>39</v>
      </c>
      <c r="E591" t="s">
        <v>22</v>
      </c>
      <c r="F591" t="s">
        <v>15</v>
      </c>
      <c r="G591" t="s">
        <v>24</v>
      </c>
      <c r="H591">
        <v>1</v>
      </c>
      <c r="I591">
        <v>1096.21</v>
      </c>
      <c r="J591">
        <v>1096.21</v>
      </c>
      <c r="K591">
        <v>235.96</v>
      </c>
    </row>
    <row r="592" spans="1:11" x14ac:dyDescent="0.3">
      <c r="A592" t="s">
        <v>629</v>
      </c>
      <c r="B592" s="1">
        <v>45869</v>
      </c>
      <c r="C592" t="s">
        <v>117</v>
      </c>
      <c r="D592" t="s">
        <v>63</v>
      </c>
      <c r="E592" t="s">
        <v>22</v>
      </c>
      <c r="F592" t="s">
        <v>23</v>
      </c>
      <c r="G592" t="s">
        <v>30</v>
      </c>
      <c r="H592">
        <v>2</v>
      </c>
      <c r="I592">
        <v>72.16</v>
      </c>
      <c r="J592">
        <v>144.32</v>
      </c>
      <c r="K592">
        <v>23.62</v>
      </c>
    </row>
    <row r="593" spans="1:11" x14ac:dyDescent="0.3">
      <c r="A593" t="s">
        <v>630</v>
      </c>
      <c r="B593" s="1">
        <v>45862</v>
      </c>
      <c r="C593" t="s">
        <v>35</v>
      </c>
      <c r="D593" t="s">
        <v>13</v>
      </c>
      <c r="E593" t="s">
        <v>22</v>
      </c>
      <c r="F593" t="s">
        <v>23</v>
      </c>
      <c r="G593" t="s">
        <v>24</v>
      </c>
      <c r="H593">
        <v>3</v>
      </c>
      <c r="I593">
        <v>871.56</v>
      </c>
      <c r="J593">
        <v>2614.6799999999998</v>
      </c>
      <c r="K593">
        <v>616.58000000000004</v>
      </c>
    </row>
    <row r="594" spans="1:11" x14ac:dyDescent="0.3">
      <c r="A594" t="s">
        <v>631</v>
      </c>
      <c r="B594" s="1">
        <v>45839</v>
      </c>
      <c r="C594" t="s">
        <v>20</v>
      </c>
      <c r="D594" t="s">
        <v>21</v>
      </c>
      <c r="E594" t="s">
        <v>22</v>
      </c>
      <c r="F594" t="s">
        <v>23</v>
      </c>
      <c r="G594" t="s">
        <v>51</v>
      </c>
      <c r="H594">
        <v>4</v>
      </c>
      <c r="I594">
        <v>6199.8</v>
      </c>
      <c r="J594">
        <v>24799.200000000001</v>
      </c>
      <c r="K594">
        <v>3316.88</v>
      </c>
    </row>
    <row r="595" spans="1:11" x14ac:dyDescent="0.3">
      <c r="A595" t="s">
        <v>632</v>
      </c>
      <c r="B595" s="1">
        <v>45778</v>
      </c>
      <c r="C595" t="s">
        <v>57</v>
      </c>
      <c r="D595" t="s">
        <v>13</v>
      </c>
      <c r="E595" t="s">
        <v>22</v>
      </c>
      <c r="F595" t="s">
        <v>23</v>
      </c>
      <c r="G595" t="s">
        <v>51</v>
      </c>
      <c r="H595">
        <v>1</v>
      </c>
      <c r="I595">
        <v>476.54</v>
      </c>
      <c r="J595">
        <v>476.54</v>
      </c>
      <c r="K595">
        <v>152.69</v>
      </c>
    </row>
    <row r="596" spans="1:11" x14ac:dyDescent="0.3">
      <c r="A596" t="s">
        <v>633</v>
      </c>
      <c r="B596" s="1">
        <v>45712</v>
      </c>
      <c r="C596" t="s">
        <v>12</v>
      </c>
      <c r="D596" t="s">
        <v>13</v>
      </c>
      <c r="E596" t="s">
        <v>33</v>
      </c>
      <c r="F596" t="s">
        <v>15</v>
      </c>
      <c r="G596" t="s">
        <v>16</v>
      </c>
      <c r="H596">
        <v>4</v>
      </c>
      <c r="I596">
        <v>18632.919999999998</v>
      </c>
      <c r="J596">
        <v>74531.679999999993</v>
      </c>
      <c r="K596">
        <v>15466.05</v>
      </c>
    </row>
    <row r="597" spans="1:11" x14ac:dyDescent="0.3">
      <c r="A597" t="s">
        <v>634</v>
      </c>
      <c r="B597" s="1">
        <v>45679</v>
      </c>
      <c r="C597" t="s">
        <v>38</v>
      </c>
      <c r="D597" t="s">
        <v>39</v>
      </c>
      <c r="E597" t="s">
        <v>33</v>
      </c>
      <c r="F597" t="s">
        <v>23</v>
      </c>
      <c r="G597" t="s">
        <v>36</v>
      </c>
      <c r="H597">
        <v>1</v>
      </c>
      <c r="I597">
        <v>1155.7</v>
      </c>
      <c r="J597">
        <v>1155.7</v>
      </c>
      <c r="K597">
        <v>169.3</v>
      </c>
    </row>
    <row r="598" spans="1:11" x14ac:dyDescent="0.3">
      <c r="A598" t="s">
        <v>635</v>
      </c>
      <c r="B598" s="1">
        <v>45751</v>
      </c>
      <c r="C598" t="s">
        <v>50</v>
      </c>
      <c r="D598" t="s">
        <v>39</v>
      </c>
      <c r="E598" t="s">
        <v>14</v>
      </c>
      <c r="F598" t="s">
        <v>23</v>
      </c>
      <c r="G598" t="s">
        <v>36</v>
      </c>
      <c r="H598">
        <v>1</v>
      </c>
      <c r="I598">
        <v>330.55</v>
      </c>
      <c r="J598">
        <v>330.55</v>
      </c>
      <c r="K598">
        <v>76.05</v>
      </c>
    </row>
    <row r="599" spans="1:11" x14ac:dyDescent="0.3">
      <c r="A599" t="s">
        <v>636</v>
      </c>
      <c r="B599" s="1">
        <v>45934</v>
      </c>
      <c r="C599" t="s">
        <v>18</v>
      </c>
      <c r="D599" t="s">
        <v>13</v>
      </c>
      <c r="E599" t="s">
        <v>22</v>
      </c>
      <c r="F599" t="s">
        <v>23</v>
      </c>
      <c r="G599" t="s">
        <v>30</v>
      </c>
      <c r="H599">
        <v>2</v>
      </c>
      <c r="I599">
        <v>41107.22</v>
      </c>
      <c r="J599">
        <v>82214.44</v>
      </c>
      <c r="K599">
        <v>16570.48</v>
      </c>
    </row>
    <row r="600" spans="1:11" x14ac:dyDescent="0.3">
      <c r="A600" t="s">
        <v>637</v>
      </c>
      <c r="B600" s="1">
        <v>46015</v>
      </c>
      <c r="C600" t="s">
        <v>50</v>
      </c>
      <c r="D600" t="s">
        <v>39</v>
      </c>
      <c r="E600" t="s">
        <v>22</v>
      </c>
      <c r="F600" t="s">
        <v>23</v>
      </c>
      <c r="G600" t="s">
        <v>16</v>
      </c>
      <c r="H600">
        <v>2</v>
      </c>
      <c r="I600">
        <v>363.24</v>
      </c>
      <c r="J600">
        <v>726.48</v>
      </c>
      <c r="K600">
        <v>273.83</v>
      </c>
    </row>
    <row r="601" spans="1:11" x14ac:dyDescent="0.3">
      <c r="A601" t="s">
        <v>638</v>
      </c>
      <c r="B601" s="1">
        <v>45709</v>
      </c>
      <c r="C601" t="s">
        <v>117</v>
      </c>
      <c r="D601" t="s">
        <v>63</v>
      </c>
      <c r="E601" t="s">
        <v>43</v>
      </c>
      <c r="F601" t="s">
        <v>15</v>
      </c>
      <c r="G601" t="s">
        <v>24</v>
      </c>
      <c r="H601">
        <v>1</v>
      </c>
      <c r="I601">
        <v>85.79</v>
      </c>
      <c r="J601">
        <v>85.79</v>
      </c>
      <c r="K601">
        <v>28.43</v>
      </c>
    </row>
    <row r="602" spans="1:11" x14ac:dyDescent="0.3">
      <c r="A602" t="s">
        <v>639</v>
      </c>
      <c r="B602" s="1">
        <v>45899</v>
      </c>
      <c r="C602" t="s">
        <v>29</v>
      </c>
      <c r="D602" t="s">
        <v>13</v>
      </c>
      <c r="E602" t="s">
        <v>27</v>
      </c>
      <c r="F602" t="s">
        <v>23</v>
      </c>
      <c r="G602" t="s">
        <v>24</v>
      </c>
      <c r="H602">
        <v>1</v>
      </c>
      <c r="I602">
        <v>11241.39</v>
      </c>
      <c r="J602">
        <v>11241.39</v>
      </c>
      <c r="K602">
        <v>3032.64</v>
      </c>
    </row>
    <row r="603" spans="1:11" x14ac:dyDescent="0.3">
      <c r="A603" t="s">
        <v>640</v>
      </c>
      <c r="B603" s="1">
        <v>45863</v>
      </c>
      <c r="C603" t="s">
        <v>32</v>
      </c>
      <c r="D603" t="s">
        <v>21</v>
      </c>
      <c r="E603" t="s">
        <v>22</v>
      </c>
      <c r="F603" t="s">
        <v>15</v>
      </c>
      <c r="G603" t="s">
        <v>24</v>
      </c>
      <c r="H603">
        <v>2</v>
      </c>
      <c r="I603">
        <v>9128.5400000000009</v>
      </c>
      <c r="J603">
        <v>18257.080000000002</v>
      </c>
      <c r="K603">
        <v>2289.2399999999998</v>
      </c>
    </row>
    <row r="604" spans="1:11" x14ac:dyDescent="0.3">
      <c r="A604" t="s">
        <v>641</v>
      </c>
      <c r="B604" s="1">
        <v>45778</v>
      </c>
      <c r="C604" t="s">
        <v>50</v>
      </c>
      <c r="D604" t="s">
        <v>39</v>
      </c>
      <c r="E604" t="s">
        <v>22</v>
      </c>
      <c r="F604" t="s">
        <v>23</v>
      </c>
      <c r="G604" t="s">
        <v>30</v>
      </c>
      <c r="H604">
        <v>2</v>
      </c>
      <c r="I604">
        <v>341.66</v>
      </c>
      <c r="J604">
        <v>683.32</v>
      </c>
      <c r="K604">
        <v>233.75</v>
      </c>
    </row>
    <row r="605" spans="1:11" x14ac:dyDescent="0.3">
      <c r="A605" t="s">
        <v>642</v>
      </c>
      <c r="B605" s="1">
        <v>45748</v>
      </c>
      <c r="C605" t="s">
        <v>62</v>
      </c>
      <c r="D605" t="s">
        <v>63</v>
      </c>
      <c r="E605" t="s">
        <v>33</v>
      </c>
      <c r="F605" t="s">
        <v>23</v>
      </c>
      <c r="G605" t="s">
        <v>36</v>
      </c>
      <c r="H605">
        <v>2</v>
      </c>
      <c r="I605">
        <v>131.88999999999999</v>
      </c>
      <c r="J605">
        <v>263.77999999999997</v>
      </c>
      <c r="K605">
        <v>41.98</v>
      </c>
    </row>
    <row r="606" spans="1:11" x14ac:dyDescent="0.3">
      <c r="A606" t="s">
        <v>643</v>
      </c>
      <c r="B606" s="1">
        <v>45811</v>
      </c>
      <c r="C606" t="s">
        <v>32</v>
      </c>
      <c r="D606" t="s">
        <v>21</v>
      </c>
      <c r="E606" t="s">
        <v>22</v>
      </c>
      <c r="F606" t="s">
        <v>15</v>
      </c>
      <c r="G606" t="s">
        <v>51</v>
      </c>
      <c r="H606">
        <v>2</v>
      </c>
      <c r="I606">
        <v>9122.1</v>
      </c>
      <c r="J606">
        <v>18244.2</v>
      </c>
      <c r="K606">
        <v>5042.9799999999996</v>
      </c>
    </row>
    <row r="607" spans="1:11" x14ac:dyDescent="0.3">
      <c r="A607" t="s">
        <v>644</v>
      </c>
      <c r="B607" s="1">
        <v>45788</v>
      </c>
      <c r="C607" t="s">
        <v>38</v>
      </c>
      <c r="D607" t="s">
        <v>39</v>
      </c>
      <c r="E607" t="s">
        <v>43</v>
      </c>
      <c r="F607" t="s">
        <v>23</v>
      </c>
      <c r="G607" t="s">
        <v>24</v>
      </c>
      <c r="H607">
        <v>3</v>
      </c>
      <c r="I607">
        <v>1103.1099999999999</v>
      </c>
      <c r="J607">
        <v>3309.33</v>
      </c>
      <c r="K607">
        <v>616.88</v>
      </c>
    </row>
    <row r="608" spans="1:11" x14ac:dyDescent="0.3">
      <c r="A608" t="s">
        <v>645</v>
      </c>
      <c r="B608" s="1">
        <v>45944</v>
      </c>
      <c r="C608" t="s">
        <v>50</v>
      </c>
      <c r="D608" t="s">
        <v>39</v>
      </c>
      <c r="E608" t="s">
        <v>14</v>
      </c>
      <c r="F608" t="s">
        <v>23</v>
      </c>
      <c r="G608" t="s">
        <v>16</v>
      </c>
      <c r="H608">
        <v>4</v>
      </c>
      <c r="I608">
        <v>333.04</v>
      </c>
      <c r="J608">
        <v>1332.16</v>
      </c>
      <c r="K608">
        <v>499.35</v>
      </c>
    </row>
    <row r="609" spans="1:11" x14ac:dyDescent="0.3">
      <c r="A609" t="s">
        <v>646</v>
      </c>
      <c r="B609" s="1">
        <v>45759</v>
      </c>
      <c r="C609" t="s">
        <v>29</v>
      </c>
      <c r="D609" t="s">
        <v>13</v>
      </c>
      <c r="E609" t="s">
        <v>43</v>
      </c>
      <c r="F609" t="s">
        <v>23</v>
      </c>
      <c r="G609" t="s">
        <v>24</v>
      </c>
      <c r="H609">
        <v>2</v>
      </c>
      <c r="I609">
        <v>12357.91</v>
      </c>
      <c r="J609">
        <v>24715.82</v>
      </c>
      <c r="K609">
        <v>8270.41</v>
      </c>
    </row>
    <row r="610" spans="1:11" x14ac:dyDescent="0.3">
      <c r="A610" t="s">
        <v>647</v>
      </c>
      <c r="B610" s="1">
        <v>46002</v>
      </c>
      <c r="C610" t="s">
        <v>50</v>
      </c>
      <c r="D610" t="s">
        <v>39</v>
      </c>
      <c r="E610" t="s">
        <v>27</v>
      </c>
      <c r="F610" t="s">
        <v>23</v>
      </c>
      <c r="G610" t="s">
        <v>36</v>
      </c>
      <c r="H610">
        <v>2</v>
      </c>
      <c r="I610">
        <v>366.56</v>
      </c>
      <c r="J610">
        <v>733.12</v>
      </c>
      <c r="K610">
        <v>109.01</v>
      </c>
    </row>
    <row r="611" spans="1:11" x14ac:dyDescent="0.3">
      <c r="A611" t="s">
        <v>648</v>
      </c>
      <c r="B611" s="1">
        <v>45981</v>
      </c>
      <c r="C611" t="s">
        <v>26</v>
      </c>
      <c r="D611" t="s">
        <v>13</v>
      </c>
      <c r="E611" t="s">
        <v>27</v>
      </c>
      <c r="F611" t="s">
        <v>23</v>
      </c>
      <c r="G611" t="s">
        <v>30</v>
      </c>
      <c r="H611">
        <v>4</v>
      </c>
      <c r="I611">
        <v>1850.61</v>
      </c>
      <c r="J611">
        <v>7402.44</v>
      </c>
      <c r="K611">
        <v>1025.78</v>
      </c>
    </row>
    <row r="612" spans="1:11" x14ac:dyDescent="0.3">
      <c r="A612" t="s">
        <v>649</v>
      </c>
      <c r="B612" s="1">
        <v>45698</v>
      </c>
      <c r="C612" t="s">
        <v>26</v>
      </c>
      <c r="D612" t="s">
        <v>13</v>
      </c>
      <c r="E612" t="s">
        <v>43</v>
      </c>
      <c r="F612" t="s">
        <v>23</v>
      </c>
      <c r="G612" t="s">
        <v>24</v>
      </c>
      <c r="H612">
        <v>1</v>
      </c>
      <c r="I612">
        <v>1732.85</v>
      </c>
      <c r="J612">
        <v>1732.85</v>
      </c>
      <c r="K612">
        <v>364.27</v>
      </c>
    </row>
    <row r="613" spans="1:11" x14ac:dyDescent="0.3">
      <c r="A613" t="s">
        <v>650</v>
      </c>
      <c r="B613" s="1">
        <v>45885</v>
      </c>
      <c r="C613" t="s">
        <v>117</v>
      </c>
      <c r="D613" t="s">
        <v>63</v>
      </c>
      <c r="E613" t="s">
        <v>22</v>
      </c>
      <c r="F613" t="s">
        <v>15</v>
      </c>
      <c r="G613" t="s">
        <v>30</v>
      </c>
      <c r="H613">
        <v>3</v>
      </c>
      <c r="I613">
        <v>80.33</v>
      </c>
      <c r="J613">
        <v>240.99</v>
      </c>
      <c r="K613">
        <v>63.36</v>
      </c>
    </row>
    <row r="614" spans="1:11" x14ac:dyDescent="0.3">
      <c r="A614" t="s">
        <v>651</v>
      </c>
      <c r="B614" s="1">
        <v>45722</v>
      </c>
      <c r="C614" t="s">
        <v>57</v>
      </c>
      <c r="D614" t="s">
        <v>13</v>
      </c>
      <c r="E614" t="s">
        <v>14</v>
      </c>
      <c r="F614" t="s">
        <v>15</v>
      </c>
      <c r="G614" t="s">
        <v>51</v>
      </c>
      <c r="H614">
        <v>1</v>
      </c>
      <c r="I614">
        <v>475.16</v>
      </c>
      <c r="J614">
        <v>475.16</v>
      </c>
      <c r="K614">
        <v>88.66</v>
      </c>
    </row>
    <row r="615" spans="1:11" x14ac:dyDescent="0.3">
      <c r="A615" t="s">
        <v>652</v>
      </c>
      <c r="B615" s="1">
        <v>45861</v>
      </c>
      <c r="C615" t="s">
        <v>12</v>
      </c>
      <c r="D615" t="s">
        <v>13</v>
      </c>
      <c r="E615" t="s">
        <v>14</v>
      </c>
      <c r="F615" t="s">
        <v>15</v>
      </c>
      <c r="G615" t="s">
        <v>36</v>
      </c>
      <c r="H615">
        <v>1</v>
      </c>
      <c r="I615">
        <v>19572.46</v>
      </c>
      <c r="J615">
        <v>19572.46</v>
      </c>
      <c r="K615">
        <v>5029.57</v>
      </c>
    </row>
    <row r="616" spans="1:11" x14ac:dyDescent="0.3">
      <c r="A616" t="s">
        <v>653</v>
      </c>
      <c r="B616" s="1">
        <v>45926</v>
      </c>
      <c r="C616" t="s">
        <v>12</v>
      </c>
      <c r="D616" t="s">
        <v>13</v>
      </c>
      <c r="E616" t="s">
        <v>27</v>
      </c>
      <c r="F616" t="s">
        <v>23</v>
      </c>
      <c r="G616" t="s">
        <v>51</v>
      </c>
      <c r="H616">
        <v>1</v>
      </c>
      <c r="I616">
        <v>18425.169999999998</v>
      </c>
      <c r="J616">
        <v>18425.169999999998</v>
      </c>
      <c r="K616">
        <v>6597.67</v>
      </c>
    </row>
    <row r="617" spans="1:11" x14ac:dyDescent="0.3">
      <c r="A617" t="s">
        <v>654</v>
      </c>
      <c r="B617" s="1">
        <v>45784</v>
      </c>
      <c r="C617" t="s">
        <v>57</v>
      </c>
      <c r="D617" t="s">
        <v>13</v>
      </c>
      <c r="E617" t="s">
        <v>22</v>
      </c>
      <c r="F617" t="s">
        <v>15</v>
      </c>
      <c r="G617" t="s">
        <v>30</v>
      </c>
      <c r="H617">
        <v>1</v>
      </c>
      <c r="I617">
        <v>512.65</v>
      </c>
      <c r="J617">
        <v>512.65</v>
      </c>
      <c r="K617">
        <v>177.31</v>
      </c>
    </row>
    <row r="618" spans="1:11" x14ac:dyDescent="0.3">
      <c r="A618" t="s">
        <v>655</v>
      </c>
      <c r="B618" s="1">
        <v>45997</v>
      </c>
      <c r="C618" t="s">
        <v>117</v>
      </c>
      <c r="D618" t="s">
        <v>63</v>
      </c>
      <c r="E618" t="s">
        <v>33</v>
      </c>
      <c r="F618" t="s">
        <v>23</v>
      </c>
      <c r="G618" t="s">
        <v>16</v>
      </c>
      <c r="H618">
        <v>4</v>
      </c>
      <c r="I618">
        <v>77.2</v>
      </c>
      <c r="J618">
        <v>308.8</v>
      </c>
      <c r="K618">
        <v>79.11</v>
      </c>
    </row>
    <row r="619" spans="1:11" x14ac:dyDescent="0.3">
      <c r="A619" t="s">
        <v>656</v>
      </c>
      <c r="B619" s="1">
        <v>45885</v>
      </c>
      <c r="C619" t="s">
        <v>26</v>
      </c>
      <c r="D619" t="s">
        <v>13</v>
      </c>
      <c r="E619" t="s">
        <v>33</v>
      </c>
      <c r="F619" t="s">
        <v>23</v>
      </c>
      <c r="G619" t="s">
        <v>16</v>
      </c>
      <c r="H619">
        <v>5</v>
      </c>
      <c r="I619">
        <v>1871.14</v>
      </c>
      <c r="J619">
        <v>9355.7000000000007</v>
      </c>
      <c r="K619">
        <v>3124.53</v>
      </c>
    </row>
    <row r="620" spans="1:11" x14ac:dyDescent="0.3">
      <c r="A620" t="s">
        <v>657</v>
      </c>
      <c r="B620" s="1">
        <v>45880</v>
      </c>
      <c r="C620" t="s">
        <v>50</v>
      </c>
      <c r="D620" t="s">
        <v>39</v>
      </c>
      <c r="E620" t="s">
        <v>27</v>
      </c>
      <c r="F620" t="s">
        <v>15</v>
      </c>
      <c r="G620" t="s">
        <v>30</v>
      </c>
      <c r="H620">
        <v>2</v>
      </c>
      <c r="I620">
        <v>352.36</v>
      </c>
      <c r="J620">
        <v>704.72</v>
      </c>
      <c r="K620">
        <v>101.25</v>
      </c>
    </row>
    <row r="621" spans="1:11" x14ac:dyDescent="0.3">
      <c r="A621" t="s">
        <v>658</v>
      </c>
      <c r="B621" s="1">
        <v>45884</v>
      </c>
      <c r="C621" t="s">
        <v>32</v>
      </c>
      <c r="D621" t="s">
        <v>21</v>
      </c>
      <c r="E621" t="s">
        <v>14</v>
      </c>
      <c r="F621" t="s">
        <v>15</v>
      </c>
      <c r="G621" t="s">
        <v>24</v>
      </c>
      <c r="H621">
        <v>1</v>
      </c>
      <c r="I621">
        <v>8567.65</v>
      </c>
      <c r="J621">
        <v>8567.65</v>
      </c>
      <c r="K621">
        <v>2579.4699999999998</v>
      </c>
    </row>
    <row r="622" spans="1:11" x14ac:dyDescent="0.3">
      <c r="A622" t="s">
        <v>659</v>
      </c>
      <c r="B622" s="1">
        <v>45804</v>
      </c>
      <c r="C622" t="s">
        <v>38</v>
      </c>
      <c r="D622" t="s">
        <v>39</v>
      </c>
      <c r="E622" t="s">
        <v>27</v>
      </c>
      <c r="F622" t="s">
        <v>23</v>
      </c>
      <c r="G622" t="s">
        <v>30</v>
      </c>
      <c r="H622">
        <v>2</v>
      </c>
      <c r="I622">
        <v>1245.06</v>
      </c>
      <c r="J622">
        <v>2490.12</v>
      </c>
      <c r="K622">
        <v>627.75</v>
      </c>
    </row>
    <row r="623" spans="1:11" x14ac:dyDescent="0.3">
      <c r="A623" t="s">
        <v>660</v>
      </c>
      <c r="B623" s="1">
        <v>45878</v>
      </c>
      <c r="C623" t="s">
        <v>32</v>
      </c>
      <c r="D623" t="s">
        <v>21</v>
      </c>
      <c r="E623" t="s">
        <v>22</v>
      </c>
      <c r="F623" t="s">
        <v>23</v>
      </c>
      <c r="G623" t="s">
        <v>16</v>
      </c>
      <c r="H623">
        <v>2</v>
      </c>
      <c r="I623">
        <v>9534.18</v>
      </c>
      <c r="J623">
        <v>19068.36</v>
      </c>
      <c r="K623">
        <v>4528.0600000000004</v>
      </c>
    </row>
    <row r="624" spans="1:11" x14ac:dyDescent="0.3">
      <c r="A624" t="s">
        <v>661</v>
      </c>
      <c r="B624" s="1">
        <v>45881</v>
      </c>
      <c r="C624" t="s">
        <v>62</v>
      </c>
      <c r="D624" t="s">
        <v>63</v>
      </c>
      <c r="E624" t="s">
        <v>27</v>
      </c>
      <c r="F624" t="s">
        <v>15</v>
      </c>
      <c r="G624" t="s">
        <v>24</v>
      </c>
      <c r="H624">
        <v>1</v>
      </c>
      <c r="I624">
        <v>125.16</v>
      </c>
      <c r="J624">
        <v>125.16</v>
      </c>
      <c r="K624">
        <v>26.54</v>
      </c>
    </row>
    <row r="625" spans="1:11" x14ac:dyDescent="0.3">
      <c r="A625" t="s">
        <v>662</v>
      </c>
      <c r="B625" s="1">
        <v>45698</v>
      </c>
      <c r="C625" t="s">
        <v>62</v>
      </c>
      <c r="D625" t="s">
        <v>63</v>
      </c>
      <c r="E625" t="s">
        <v>33</v>
      </c>
      <c r="F625" t="s">
        <v>23</v>
      </c>
      <c r="G625" t="s">
        <v>24</v>
      </c>
      <c r="H625">
        <v>2</v>
      </c>
      <c r="I625">
        <v>120.4</v>
      </c>
      <c r="J625">
        <v>240.8</v>
      </c>
      <c r="K625">
        <v>41.42</v>
      </c>
    </row>
    <row r="626" spans="1:11" x14ac:dyDescent="0.3">
      <c r="A626" t="s">
        <v>663</v>
      </c>
      <c r="B626" s="1">
        <v>45990</v>
      </c>
      <c r="C626" t="s">
        <v>57</v>
      </c>
      <c r="D626" t="s">
        <v>13</v>
      </c>
      <c r="E626" t="s">
        <v>14</v>
      </c>
      <c r="F626" t="s">
        <v>15</v>
      </c>
      <c r="G626" t="s">
        <v>51</v>
      </c>
      <c r="H626">
        <v>2</v>
      </c>
      <c r="I626">
        <v>476.88</v>
      </c>
      <c r="J626">
        <v>953.76</v>
      </c>
      <c r="K626">
        <v>315.81</v>
      </c>
    </row>
    <row r="627" spans="1:11" x14ac:dyDescent="0.3">
      <c r="A627" t="s">
        <v>664</v>
      </c>
      <c r="B627" s="1">
        <v>45806</v>
      </c>
      <c r="C627" t="s">
        <v>12</v>
      </c>
      <c r="D627" t="s">
        <v>13</v>
      </c>
      <c r="E627" t="s">
        <v>33</v>
      </c>
      <c r="F627" t="s">
        <v>23</v>
      </c>
      <c r="G627" t="s">
        <v>51</v>
      </c>
      <c r="H627">
        <v>2</v>
      </c>
      <c r="I627">
        <v>18423.830000000002</v>
      </c>
      <c r="J627">
        <v>36847.660000000003</v>
      </c>
      <c r="K627">
        <v>11394.96</v>
      </c>
    </row>
    <row r="628" spans="1:11" x14ac:dyDescent="0.3">
      <c r="A628" t="s">
        <v>665</v>
      </c>
      <c r="B628" s="1">
        <v>45822</v>
      </c>
      <c r="C628" t="s">
        <v>18</v>
      </c>
      <c r="D628" t="s">
        <v>13</v>
      </c>
      <c r="E628" t="s">
        <v>14</v>
      </c>
      <c r="F628" t="s">
        <v>23</v>
      </c>
      <c r="G628" t="s">
        <v>24</v>
      </c>
      <c r="H628">
        <v>1</v>
      </c>
      <c r="I628">
        <v>45945.62</v>
      </c>
      <c r="J628">
        <v>45945.62</v>
      </c>
      <c r="K628">
        <v>17194.96</v>
      </c>
    </row>
    <row r="629" spans="1:11" x14ac:dyDescent="0.3">
      <c r="A629" t="s">
        <v>666</v>
      </c>
      <c r="B629" s="1">
        <v>45722</v>
      </c>
      <c r="C629" t="s">
        <v>57</v>
      </c>
      <c r="D629" t="s">
        <v>13</v>
      </c>
      <c r="E629" t="s">
        <v>14</v>
      </c>
      <c r="F629" t="s">
        <v>23</v>
      </c>
      <c r="G629" t="s">
        <v>51</v>
      </c>
      <c r="H629">
        <v>2</v>
      </c>
      <c r="I629">
        <v>450.82</v>
      </c>
      <c r="J629">
        <v>901.64</v>
      </c>
      <c r="K629">
        <v>321.48</v>
      </c>
    </row>
    <row r="630" spans="1:11" x14ac:dyDescent="0.3">
      <c r="A630" t="s">
        <v>667</v>
      </c>
      <c r="B630" s="1">
        <v>45833</v>
      </c>
      <c r="C630" t="s">
        <v>62</v>
      </c>
      <c r="D630" t="s">
        <v>63</v>
      </c>
      <c r="E630" t="s">
        <v>27</v>
      </c>
      <c r="F630" t="s">
        <v>15</v>
      </c>
      <c r="G630" t="s">
        <v>24</v>
      </c>
      <c r="H630">
        <v>1</v>
      </c>
      <c r="I630">
        <v>127.19</v>
      </c>
      <c r="J630">
        <v>127.19</v>
      </c>
      <c r="K630">
        <v>15.33</v>
      </c>
    </row>
    <row r="631" spans="1:11" x14ac:dyDescent="0.3">
      <c r="A631" t="s">
        <v>668</v>
      </c>
      <c r="B631" s="1">
        <v>45699</v>
      </c>
      <c r="C631" t="s">
        <v>26</v>
      </c>
      <c r="D631" t="s">
        <v>13</v>
      </c>
      <c r="E631" t="s">
        <v>27</v>
      </c>
      <c r="F631" t="s">
        <v>15</v>
      </c>
      <c r="G631" t="s">
        <v>51</v>
      </c>
      <c r="H631">
        <v>1</v>
      </c>
      <c r="I631">
        <v>1899.24</v>
      </c>
      <c r="J631">
        <v>1899.24</v>
      </c>
      <c r="K631">
        <v>686.46</v>
      </c>
    </row>
    <row r="632" spans="1:11" x14ac:dyDescent="0.3">
      <c r="A632" t="s">
        <v>669</v>
      </c>
      <c r="B632" s="1">
        <v>45786</v>
      </c>
      <c r="C632" t="s">
        <v>62</v>
      </c>
      <c r="D632" t="s">
        <v>63</v>
      </c>
      <c r="E632" t="s">
        <v>22</v>
      </c>
      <c r="F632" t="s">
        <v>23</v>
      </c>
      <c r="G632" t="s">
        <v>36</v>
      </c>
      <c r="H632">
        <v>3</v>
      </c>
      <c r="I632">
        <v>110.93</v>
      </c>
      <c r="J632">
        <v>332.79</v>
      </c>
      <c r="K632">
        <v>60</v>
      </c>
    </row>
    <row r="633" spans="1:11" x14ac:dyDescent="0.3">
      <c r="A633" t="s">
        <v>670</v>
      </c>
      <c r="B633" s="1">
        <v>45784</v>
      </c>
      <c r="C633" t="s">
        <v>57</v>
      </c>
      <c r="D633" t="s">
        <v>13</v>
      </c>
      <c r="E633" t="s">
        <v>14</v>
      </c>
      <c r="F633" t="s">
        <v>15</v>
      </c>
      <c r="G633" t="s">
        <v>36</v>
      </c>
      <c r="H633">
        <v>5</v>
      </c>
      <c r="I633">
        <v>469.92</v>
      </c>
      <c r="J633">
        <v>2349.6</v>
      </c>
      <c r="K633">
        <v>443.64</v>
      </c>
    </row>
    <row r="634" spans="1:11" x14ac:dyDescent="0.3">
      <c r="A634" t="s">
        <v>671</v>
      </c>
      <c r="B634" s="1">
        <v>45857</v>
      </c>
      <c r="C634" t="s">
        <v>35</v>
      </c>
      <c r="D634" t="s">
        <v>13</v>
      </c>
      <c r="E634" t="s">
        <v>14</v>
      </c>
      <c r="F634" t="s">
        <v>15</v>
      </c>
      <c r="G634" t="s">
        <v>24</v>
      </c>
      <c r="H634">
        <v>5</v>
      </c>
      <c r="I634">
        <v>978.52</v>
      </c>
      <c r="J634">
        <v>4892.6000000000004</v>
      </c>
      <c r="K634">
        <v>1657.42</v>
      </c>
    </row>
    <row r="635" spans="1:11" x14ac:dyDescent="0.3">
      <c r="A635" t="s">
        <v>672</v>
      </c>
      <c r="B635" s="1">
        <v>45904</v>
      </c>
      <c r="C635" t="s">
        <v>35</v>
      </c>
      <c r="D635" t="s">
        <v>13</v>
      </c>
      <c r="E635" t="s">
        <v>22</v>
      </c>
      <c r="F635" t="s">
        <v>15</v>
      </c>
      <c r="G635" t="s">
        <v>51</v>
      </c>
      <c r="H635">
        <v>1</v>
      </c>
      <c r="I635">
        <v>874.88</v>
      </c>
      <c r="J635">
        <v>874.88</v>
      </c>
      <c r="K635">
        <v>320.61</v>
      </c>
    </row>
    <row r="636" spans="1:11" x14ac:dyDescent="0.3">
      <c r="A636" t="s">
        <v>673</v>
      </c>
      <c r="B636" s="1">
        <v>45982</v>
      </c>
      <c r="C636" t="s">
        <v>62</v>
      </c>
      <c r="D636" t="s">
        <v>63</v>
      </c>
      <c r="E636" t="s">
        <v>14</v>
      </c>
      <c r="F636" t="s">
        <v>23</v>
      </c>
      <c r="G636" t="s">
        <v>51</v>
      </c>
      <c r="H636">
        <v>1</v>
      </c>
      <c r="I636">
        <v>112.02</v>
      </c>
      <c r="J636">
        <v>112.02</v>
      </c>
      <c r="K636">
        <v>34.53</v>
      </c>
    </row>
    <row r="637" spans="1:11" x14ac:dyDescent="0.3">
      <c r="A637" t="s">
        <v>674</v>
      </c>
      <c r="B637" s="1">
        <v>45662</v>
      </c>
      <c r="C637" t="s">
        <v>18</v>
      </c>
      <c r="D637" t="s">
        <v>13</v>
      </c>
      <c r="E637" t="s">
        <v>22</v>
      </c>
      <c r="F637" t="s">
        <v>23</v>
      </c>
      <c r="G637" t="s">
        <v>30</v>
      </c>
      <c r="H637">
        <v>2</v>
      </c>
      <c r="I637">
        <v>43602.31</v>
      </c>
      <c r="J637">
        <v>87204.62</v>
      </c>
      <c r="K637">
        <v>17529.38</v>
      </c>
    </row>
    <row r="638" spans="1:11" x14ac:dyDescent="0.3">
      <c r="A638" t="s">
        <v>675</v>
      </c>
      <c r="B638" s="1">
        <v>45785</v>
      </c>
      <c r="C638" t="s">
        <v>26</v>
      </c>
      <c r="D638" t="s">
        <v>13</v>
      </c>
      <c r="E638" t="s">
        <v>14</v>
      </c>
      <c r="F638" t="s">
        <v>15</v>
      </c>
      <c r="G638" t="s">
        <v>24</v>
      </c>
      <c r="H638">
        <v>2</v>
      </c>
      <c r="I638">
        <v>1866.94</v>
      </c>
      <c r="J638">
        <v>3733.88</v>
      </c>
      <c r="K638">
        <v>1090.33</v>
      </c>
    </row>
    <row r="639" spans="1:11" x14ac:dyDescent="0.3">
      <c r="A639" t="s">
        <v>676</v>
      </c>
      <c r="B639" s="1">
        <v>45988</v>
      </c>
      <c r="C639" t="s">
        <v>26</v>
      </c>
      <c r="D639" t="s">
        <v>13</v>
      </c>
      <c r="E639" t="s">
        <v>22</v>
      </c>
      <c r="F639" t="s">
        <v>23</v>
      </c>
      <c r="G639" t="s">
        <v>16</v>
      </c>
      <c r="H639">
        <v>3</v>
      </c>
      <c r="I639">
        <v>1904.93</v>
      </c>
      <c r="J639">
        <v>5714.79</v>
      </c>
      <c r="K639">
        <v>1984.66</v>
      </c>
    </row>
    <row r="640" spans="1:11" x14ac:dyDescent="0.3">
      <c r="A640" t="s">
        <v>677</v>
      </c>
      <c r="B640" s="1">
        <v>45988</v>
      </c>
      <c r="C640" t="s">
        <v>117</v>
      </c>
      <c r="D640" t="s">
        <v>63</v>
      </c>
      <c r="E640" t="s">
        <v>27</v>
      </c>
      <c r="F640" t="s">
        <v>23</v>
      </c>
      <c r="G640" t="s">
        <v>51</v>
      </c>
      <c r="H640">
        <v>3</v>
      </c>
      <c r="I640">
        <v>79.02</v>
      </c>
      <c r="J640">
        <v>237.06</v>
      </c>
      <c r="K640">
        <v>78.19</v>
      </c>
    </row>
    <row r="641" spans="1:11" x14ac:dyDescent="0.3">
      <c r="A641" t="s">
        <v>678</v>
      </c>
      <c r="B641" s="1">
        <v>45786</v>
      </c>
      <c r="C641" t="s">
        <v>18</v>
      </c>
      <c r="D641" t="s">
        <v>13</v>
      </c>
      <c r="E641" t="s">
        <v>27</v>
      </c>
      <c r="F641" t="s">
        <v>15</v>
      </c>
      <c r="G641" t="s">
        <v>16</v>
      </c>
      <c r="H641">
        <v>2</v>
      </c>
      <c r="I641">
        <v>41475</v>
      </c>
      <c r="J641">
        <v>82950</v>
      </c>
      <c r="K641">
        <v>25164.89</v>
      </c>
    </row>
    <row r="642" spans="1:11" x14ac:dyDescent="0.3">
      <c r="A642" t="s">
        <v>679</v>
      </c>
      <c r="B642" s="1">
        <v>45753</v>
      </c>
      <c r="C642" t="s">
        <v>50</v>
      </c>
      <c r="D642" t="s">
        <v>39</v>
      </c>
      <c r="E642" t="s">
        <v>33</v>
      </c>
      <c r="F642" t="s">
        <v>15</v>
      </c>
      <c r="G642" t="s">
        <v>30</v>
      </c>
      <c r="H642">
        <v>1</v>
      </c>
      <c r="I642">
        <v>366.27</v>
      </c>
      <c r="J642">
        <v>366.27</v>
      </c>
      <c r="K642">
        <v>112.96</v>
      </c>
    </row>
    <row r="643" spans="1:11" x14ac:dyDescent="0.3">
      <c r="A643" t="s">
        <v>680</v>
      </c>
      <c r="B643" s="1">
        <v>45929</v>
      </c>
      <c r="C643" t="s">
        <v>26</v>
      </c>
      <c r="D643" t="s">
        <v>13</v>
      </c>
      <c r="E643" t="s">
        <v>27</v>
      </c>
      <c r="F643" t="s">
        <v>15</v>
      </c>
      <c r="G643" t="s">
        <v>16</v>
      </c>
      <c r="H643">
        <v>2</v>
      </c>
      <c r="I643">
        <v>1914.99</v>
      </c>
      <c r="J643">
        <v>3829.98</v>
      </c>
      <c r="K643">
        <v>916.06</v>
      </c>
    </row>
    <row r="644" spans="1:11" x14ac:dyDescent="0.3">
      <c r="A644" t="s">
        <v>681</v>
      </c>
      <c r="B644" s="1">
        <v>45852</v>
      </c>
      <c r="C644" t="s">
        <v>57</v>
      </c>
      <c r="D644" t="s">
        <v>13</v>
      </c>
      <c r="E644" t="s">
        <v>33</v>
      </c>
      <c r="F644" t="s">
        <v>15</v>
      </c>
      <c r="G644" t="s">
        <v>24</v>
      </c>
      <c r="H644">
        <v>1</v>
      </c>
      <c r="I644">
        <v>451.87</v>
      </c>
      <c r="J644">
        <v>451.87</v>
      </c>
      <c r="K644">
        <v>71.040000000000006</v>
      </c>
    </row>
    <row r="645" spans="1:11" x14ac:dyDescent="0.3">
      <c r="A645" t="s">
        <v>682</v>
      </c>
      <c r="B645" s="1">
        <v>45690</v>
      </c>
      <c r="C645" t="s">
        <v>35</v>
      </c>
      <c r="D645" t="s">
        <v>13</v>
      </c>
      <c r="E645" t="s">
        <v>27</v>
      </c>
      <c r="F645" t="s">
        <v>15</v>
      </c>
      <c r="G645" t="s">
        <v>16</v>
      </c>
      <c r="H645">
        <v>5</v>
      </c>
      <c r="I645">
        <v>957.43</v>
      </c>
      <c r="J645">
        <v>4787.1499999999996</v>
      </c>
      <c r="K645">
        <v>1582.79</v>
      </c>
    </row>
    <row r="646" spans="1:11" x14ac:dyDescent="0.3">
      <c r="A646" t="s">
        <v>683</v>
      </c>
      <c r="B646" s="1">
        <v>45802</v>
      </c>
      <c r="C646" t="s">
        <v>117</v>
      </c>
      <c r="D646" t="s">
        <v>63</v>
      </c>
      <c r="E646" t="s">
        <v>14</v>
      </c>
      <c r="F646" t="s">
        <v>15</v>
      </c>
      <c r="G646" t="s">
        <v>51</v>
      </c>
      <c r="H646">
        <v>1</v>
      </c>
      <c r="I646">
        <v>77.150000000000006</v>
      </c>
      <c r="J646">
        <v>77.150000000000006</v>
      </c>
      <c r="K646">
        <v>27.39</v>
      </c>
    </row>
    <row r="647" spans="1:11" x14ac:dyDescent="0.3">
      <c r="A647" t="s">
        <v>684</v>
      </c>
      <c r="B647" s="1">
        <v>45749</v>
      </c>
      <c r="C647" t="s">
        <v>18</v>
      </c>
      <c r="D647" t="s">
        <v>13</v>
      </c>
      <c r="E647" t="s">
        <v>33</v>
      </c>
      <c r="F647" t="s">
        <v>23</v>
      </c>
      <c r="G647" t="s">
        <v>36</v>
      </c>
      <c r="H647">
        <v>1</v>
      </c>
      <c r="I647">
        <v>41877.11</v>
      </c>
      <c r="J647">
        <v>41877.11</v>
      </c>
      <c r="K647">
        <v>14838.07</v>
      </c>
    </row>
    <row r="648" spans="1:11" x14ac:dyDescent="0.3">
      <c r="A648" t="s">
        <v>685</v>
      </c>
      <c r="B648" s="1">
        <v>45927</v>
      </c>
      <c r="C648" t="s">
        <v>29</v>
      </c>
      <c r="D648" t="s">
        <v>13</v>
      </c>
      <c r="E648" t="s">
        <v>33</v>
      </c>
      <c r="F648" t="s">
        <v>15</v>
      </c>
      <c r="G648" t="s">
        <v>30</v>
      </c>
      <c r="H648">
        <v>3</v>
      </c>
      <c r="I648">
        <v>11414.25</v>
      </c>
      <c r="J648">
        <v>34242.75</v>
      </c>
      <c r="K648">
        <v>9750.5499999999993</v>
      </c>
    </row>
    <row r="649" spans="1:11" x14ac:dyDescent="0.3">
      <c r="A649" t="s">
        <v>686</v>
      </c>
      <c r="B649" s="1">
        <v>45764</v>
      </c>
      <c r="C649" t="s">
        <v>35</v>
      </c>
      <c r="D649" t="s">
        <v>13</v>
      </c>
      <c r="E649" t="s">
        <v>14</v>
      </c>
      <c r="F649" t="s">
        <v>23</v>
      </c>
      <c r="G649" t="s">
        <v>16</v>
      </c>
      <c r="H649">
        <v>2</v>
      </c>
      <c r="I649">
        <v>970.16</v>
      </c>
      <c r="J649">
        <v>1940.32</v>
      </c>
      <c r="K649">
        <v>696.98</v>
      </c>
    </row>
    <row r="650" spans="1:11" x14ac:dyDescent="0.3">
      <c r="A650" t="s">
        <v>687</v>
      </c>
      <c r="B650" s="1">
        <v>45870</v>
      </c>
      <c r="C650" t="s">
        <v>117</v>
      </c>
      <c r="D650" t="s">
        <v>63</v>
      </c>
      <c r="E650" t="s">
        <v>33</v>
      </c>
      <c r="F650" t="s">
        <v>15</v>
      </c>
      <c r="G650" t="s">
        <v>30</v>
      </c>
      <c r="H650">
        <v>3</v>
      </c>
      <c r="I650">
        <v>72.930000000000007</v>
      </c>
      <c r="J650">
        <v>218.79</v>
      </c>
      <c r="K650">
        <v>48.05</v>
      </c>
    </row>
    <row r="651" spans="1:11" x14ac:dyDescent="0.3">
      <c r="A651" t="s">
        <v>688</v>
      </c>
      <c r="B651" s="1">
        <v>45813</v>
      </c>
      <c r="C651" t="s">
        <v>12</v>
      </c>
      <c r="D651" t="s">
        <v>13</v>
      </c>
      <c r="E651" t="s">
        <v>22</v>
      </c>
      <c r="F651" t="s">
        <v>23</v>
      </c>
      <c r="G651" t="s">
        <v>51</v>
      </c>
      <c r="H651">
        <v>4</v>
      </c>
      <c r="I651">
        <v>19658.11</v>
      </c>
      <c r="J651">
        <v>78632.44</v>
      </c>
      <c r="K651">
        <v>27894.78</v>
      </c>
    </row>
    <row r="652" spans="1:11" x14ac:dyDescent="0.3">
      <c r="A652" t="s">
        <v>689</v>
      </c>
      <c r="B652" s="1">
        <v>45756</v>
      </c>
      <c r="C652" t="s">
        <v>50</v>
      </c>
      <c r="D652" t="s">
        <v>39</v>
      </c>
      <c r="E652" t="s">
        <v>33</v>
      </c>
      <c r="F652" t="s">
        <v>23</v>
      </c>
      <c r="G652" t="s">
        <v>30</v>
      </c>
      <c r="H652">
        <v>2</v>
      </c>
      <c r="I652">
        <v>354.9</v>
      </c>
      <c r="J652">
        <v>709.8</v>
      </c>
      <c r="K652">
        <v>94.86</v>
      </c>
    </row>
    <row r="653" spans="1:11" x14ac:dyDescent="0.3">
      <c r="A653" t="s">
        <v>690</v>
      </c>
      <c r="B653" s="1">
        <v>45984</v>
      </c>
      <c r="C653" t="s">
        <v>29</v>
      </c>
      <c r="D653" t="s">
        <v>13</v>
      </c>
      <c r="E653" t="s">
        <v>14</v>
      </c>
      <c r="F653" t="s">
        <v>15</v>
      </c>
      <c r="G653" t="s">
        <v>51</v>
      </c>
      <c r="H653">
        <v>1</v>
      </c>
      <c r="I653">
        <v>11900.93</v>
      </c>
      <c r="J653">
        <v>11900.93</v>
      </c>
      <c r="K653">
        <v>2463.9299999999998</v>
      </c>
    </row>
    <row r="654" spans="1:11" x14ac:dyDescent="0.3">
      <c r="A654" t="s">
        <v>691</v>
      </c>
      <c r="B654" s="1">
        <v>45939</v>
      </c>
      <c r="C654" t="s">
        <v>62</v>
      </c>
      <c r="D654" t="s">
        <v>63</v>
      </c>
      <c r="E654" t="s">
        <v>33</v>
      </c>
      <c r="F654" t="s">
        <v>23</v>
      </c>
      <c r="G654" t="s">
        <v>24</v>
      </c>
      <c r="H654">
        <v>2</v>
      </c>
      <c r="I654">
        <v>123.78</v>
      </c>
      <c r="J654">
        <v>247.56</v>
      </c>
      <c r="K654">
        <v>59.71</v>
      </c>
    </row>
    <row r="655" spans="1:11" x14ac:dyDescent="0.3">
      <c r="A655" t="s">
        <v>692</v>
      </c>
      <c r="B655" s="1">
        <v>45819</v>
      </c>
      <c r="C655" t="s">
        <v>50</v>
      </c>
      <c r="D655" t="s">
        <v>39</v>
      </c>
      <c r="E655" t="s">
        <v>27</v>
      </c>
      <c r="F655" t="s">
        <v>23</v>
      </c>
      <c r="G655" t="s">
        <v>16</v>
      </c>
      <c r="H655">
        <v>5</v>
      </c>
      <c r="I655">
        <v>337.73</v>
      </c>
      <c r="J655">
        <v>1688.65</v>
      </c>
      <c r="K655">
        <v>478.48</v>
      </c>
    </row>
    <row r="656" spans="1:11" x14ac:dyDescent="0.3">
      <c r="A656" t="s">
        <v>693</v>
      </c>
      <c r="B656" s="1">
        <v>45781</v>
      </c>
      <c r="C656" t="s">
        <v>29</v>
      </c>
      <c r="D656" t="s">
        <v>13</v>
      </c>
      <c r="E656" t="s">
        <v>43</v>
      </c>
      <c r="F656" t="s">
        <v>23</v>
      </c>
      <c r="G656" t="s">
        <v>36</v>
      </c>
      <c r="H656">
        <v>2</v>
      </c>
      <c r="I656">
        <v>11700.15</v>
      </c>
      <c r="J656">
        <v>23400.3</v>
      </c>
      <c r="K656">
        <v>5544.42</v>
      </c>
    </row>
    <row r="657" spans="1:11" x14ac:dyDescent="0.3">
      <c r="A657" t="s">
        <v>694</v>
      </c>
      <c r="B657" s="1">
        <v>45887</v>
      </c>
      <c r="C657" t="s">
        <v>62</v>
      </c>
      <c r="D657" t="s">
        <v>63</v>
      </c>
      <c r="E657" t="s">
        <v>14</v>
      </c>
      <c r="F657" t="s">
        <v>15</v>
      </c>
      <c r="G657" t="s">
        <v>24</v>
      </c>
      <c r="H657">
        <v>1</v>
      </c>
      <c r="I657">
        <v>108.83</v>
      </c>
      <c r="J657">
        <v>108.83</v>
      </c>
      <c r="K657">
        <v>33.31</v>
      </c>
    </row>
    <row r="658" spans="1:11" x14ac:dyDescent="0.3">
      <c r="A658" t="s">
        <v>695</v>
      </c>
      <c r="B658" s="1">
        <v>45661</v>
      </c>
      <c r="C658" t="s">
        <v>32</v>
      </c>
      <c r="D658" t="s">
        <v>21</v>
      </c>
      <c r="E658" t="s">
        <v>43</v>
      </c>
      <c r="F658" t="s">
        <v>15</v>
      </c>
      <c r="G658" t="s">
        <v>30</v>
      </c>
      <c r="H658">
        <v>5</v>
      </c>
      <c r="I658">
        <v>8486.68</v>
      </c>
      <c r="J658">
        <v>42433.4</v>
      </c>
      <c r="K658">
        <v>12650.45</v>
      </c>
    </row>
    <row r="659" spans="1:11" x14ac:dyDescent="0.3">
      <c r="A659" t="s">
        <v>696</v>
      </c>
      <c r="B659" s="1">
        <v>45677</v>
      </c>
      <c r="C659" t="s">
        <v>38</v>
      </c>
      <c r="D659" t="s">
        <v>39</v>
      </c>
      <c r="E659" t="s">
        <v>33</v>
      </c>
      <c r="F659" t="s">
        <v>15</v>
      </c>
      <c r="G659" t="s">
        <v>51</v>
      </c>
      <c r="H659">
        <v>1</v>
      </c>
      <c r="I659">
        <v>1113.22</v>
      </c>
      <c r="J659">
        <v>1113.22</v>
      </c>
      <c r="K659">
        <v>316.77999999999997</v>
      </c>
    </row>
    <row r="660" spans="1:11" x14ac:dyDescent="0.3">
      <c r="A660" t="s">
        <v>697</v>
      </c>
      <c r="B660" s="1">
        <v>45789</v>
      </c>
      <c r="C660" t="s">
        <v>32</v>
      </c>
      <c r="D660" t="s">
        <v>21</v>
      </c>
      <c r="E660" t="s">
        <v>14</v>
      </c>
      <c r="F660" t="s">
        <v>23</v>
      </c>
      <c r="G660" t="s">
        <v>36</v>
      </c>
      <c r="H660">
        <v>1</v>
      </c>
      <c r="I660">
        <v>8819.64</v>
      </c>
      <c r="J660">
        <v>8819.64</v>
      </c>
      <c r="K660">
        <v>1246.6600000000001</v>
      </c>
    </row>
    <row r="661" spans="1:11" x14ac:dyDescent="0.3">
      <c r="A661" t="s">
        <v>698</v>
      </c>
      <c r="B661" s="1">
        <v>45746</v>
      </c>
      <c r="C661" t="s">
        <v>38</v>
      </c>
      <c r="D661" t="s">
        <v>39</v>
      </c>
      <c r="E661" t="s">
        <v>14</v>
      </c>
      <c r="F661" t="s">
        <v>23</v>
      </c>
      <c r="G661" t="s">
        <v>30</v>
      </c>
      <c r="H661">
        <v>3</v>
      </c>
      <c r="I661">
        <v>1245.5</v>
      </c>
      <c r="J661">
        <v>3736.5</v>
      </c>
      <c r="K661">
        <v>860.07</v>
      </c>
    </row>
    <row r="662" spans="1:11" x14ac:dyDescent="0.3">
      <c r="A662" t="s">
        <v>699</v>
      </c>
      <c r="B662" s="1">
        <v>45953</v>
      </c>
      <c r="C662" t="s">
        <v>62</v>
      </c>
      <c r="D662" t="s">
        <v>63</v>
      </c>
      <c r="E662" t="s">
        <v>43</v>
      </c>
      <c r="F662" t="s">
        <v>23</v>
      </c>
      <c r="G662" t="s">
        <v>36</v>
      </c>
      <c r="H662">
        <v>1</v>
      </c>
      <c r="I662">
        <v>109.34</v>
      </c>
      <c r="J662">
        <v>109.34</v>
      </c>
      <c r="K662">
        <v>19.63</v>
      </c>
    </row>
    <row r="663" spans="1:11" x14ac:dyDescent="0.3">
      <c r="A663" t="s">
        <v>700</v>
      </c>
      <c r="B663" s="1">
        <v>45719</v>
      </c>
      <c r="C663" t="s">
        <v>20</v>
      </c>
      <c r="D663" t="s">
        <v>21</v>
      </c>
      <c r="E663" t="s">
        <v>27</v>
      </c>
      <c r="F663" t="s">
        <v>15</v>
      </c>
      <c r="G663" t="s">
        <v>24</v>
      </c>
      <c r="H663">
        <v>3</v>
      </c>
      <c r="I663">
        <v>6954.32</v>
      </c>
      <c r="J663">
        <v>20862.96</v>
      </c>
      <c r="K663">
        <v>2890.57</v>
      </c>
    </row>
    <row r="664" spans="1:11" x14ac:dyDescent="0.3">
      <c r="A664" t="s">
        <v>701</v>
      </c>
      <c r="B664" s="1">
        <v>45926</v>
      </c>
      <c r="C664" t="s">
        <v>18</v>
      </c>
      <c r="D664" t="s">
        <v>13</v>
      </c>
      <c r="E664" t="s">
        <v>22</v>
      </c>
      <c r="F664" t="s">
        <v>15</v>
      </c>
      <c r="G664" t="s">
        <v>30</v>
      </c>
      <c r="H664">
        <v>1</v>
      </c>
      <c r="I664">
        <v>42545.27</v>
      </c>
      <c r="J664">
        <v>42545.27</v>
      </c>
      <c r="K664">
        <v>12551.87</v>
      </c>
    </row>
    <row r="665" spans="1:11" x14ac:dyDescent="0.3">
      <c r="A665" t="s">
        <v>702</v>
      </c>
      <c r="B665" s="1">
        <v>46002</v>
      </c>
      <c r="C665" t="s">
        <v>57</v>
      </c>
      <c r="D665" t="s">
        <v>13</v>
      </c>
      <c r="E665" t="s">
        <v>33</v>
      </c>
      <c r="F665" t="s">
        <v>15</v>
      </c>
      <c r="G665" t="s">
        <v>51</v>
      </c>
      <c r="H665">
        <v>5</v>
      </c>
      <c r="I665">
        <v>547.1</v>
      </c>
      <c r="J665">
        <v>2735.5</v>
      </c>
      <c r="K665">
        <v>504.05</v>
      </c>
    </row>
    <row r="666" spans="1:11" x14ac:dyDescent="0.3">
      <c r="A666" t="s">
        <v>703</v>
      </c>
      <c r="B666" s="1">
        <v>45879</v>
      </c>
      <c r="C666" t="s">
        <v>32</v>
      </c>
      <c r="D666" t="s">
        <v>21</v>
      </c>
      <c r="E666" t="s">
        <v>27</v>
      </c>
      <c r="F666" t="s">
        <v>15</v>
      </c>
      <c r="G666" t="s">
        <v>16</v>
      </c>
      <c r="H666">
        <v>3</v>
      </c>
      <c r="I666">
        <v>8366.42</v>
      </c>
      <c r="J666">
        <v>25099.26</v>
      </c>
      <c r="K666">
        <v>7343.95</v>
      </c>
    </row>
    <row r="667" spans="1:11" x14ac:dyDescent="0.3">
      <c r="A667" t="s">
        <v>704</v>
      </c>
      <c r="B667" s="1">
        <v>45862</v>
      </c>
      <c r="C667" t="s">
        <v>32</v>
      </c>
      <c r="D667" t="s">
        <v>21</v>
      </c>
      <c r="E667" t="s">
        <v>22</v>
      </c>
      <c r="F667" t="s">
        <v>15</v>
      </c>
      <c r="G667" t="s">
        <v>36</v>
      </c>
      <c r="H667">
        <v>1</v>
      </c>
      <c r="I667">
        <v>9003.2800000000007</v>
      </c>
      <c r="J667">
        <v>9003.2800000000007</v>
      </c>
      <c r="K667">
        <v>1609.84</v>
      </c>
    </row>
    <row r="668" spans="1:11" x14ac:dyDescent="0.3">
      <c r="A668" t="s">
        <v>705</v>
      </c>
      <c r="B668" s="1">
        <v>45944</v>
      </c>
      <c r="C668" t="s">
        <v>20</v>
      </c>
      <c r="D668" t="s">
        <v>21</v>
      </c>
      <c r="E668" t="s">
        <v>33</v>
      </c>
      <c r="F668" t="s">
        <v>15</v>
      </c>
      <c r="G668" t="s">
        <v>51</v>
      </c>
      <c r="H668">
        <v>2</v>
      </c>
      <c r="I668">
        <v>6697.92</v>
      </c>
      <c r="J668">
        <v>13395.84</v>
      </c>
      <c r="K668">
        <v>4407.42</v>
      </c>
    </row>
    <row r="669" spans="1:11" x14ac:dyDescent="0.3">
      <c r="A669" t="s">
        <v>706</v>
      </c>
      <c r="B669" s="1">
        <v>45694</v>
      </c>
      <c r="C669" t="s">
        <v>32</v>
      </c>
      <c r="D669" t="s">
        <v>21</v>
      </c>
      <c r="E669" t="s">
        <v>14</v>
      </c>
      <c r="F669" t="s">
        <v>15</v>
      </c>
      <c r="G669" t="s">
        <v>36</v>
      </c>
      <c r="H669">
        <v>3</v>
      </c>
      <c r="I669">
        <v>8682.14</v>
      </c>
      <c r="J669">
        <v>26046.42</v>
      </c>
      <c r="K669">
        <v>3639.31</v>
      </c>
    </row>
    <row r="670" spans="1:11" x14ac:dyDescent="0.3">
      <c r="A670" t="s">
        <v>707</v>
      </c>
      <c r="B670" s="1">
        <v>45874</v>
      </c>
      <c r="C670" t="s">
        <v>117</v>
      </c>
      <c r="D670" t="s">
        <v>63</v>
      </c>
      <c r="E670" t="s">
        <v>14</v>
      </c>
      <c r="F670" t="s">
        <v>23</v>
      </c>
      <c r="G670" t="s">
        <v>51</v>
      </c>
      <c r="H670">
        <v>1</v>
      </c>
      <c r="I670">
        <v>77.13</v>
      </c>
      <c r="J670">
        <v>77.13</v>
      </c>
      <c r="K670">
        <v>17.399999999999999</v>
      </c>
    </row>
    <row r="671" spans="1:11" x14ac:dyDescent="0.3">
      <c r="A671" t="s">
        <v>708</v>
      </c>
      <c r="B671" s="1">
        <v>45837</v>
      </c>
      <c r="C671" t="s">
        <v>29</v>
      </c>
      <c r="D671" t="s">
        <v>13</v>
      </c>
      <c r="E671" t="s">
        <v>27</v>
      </c>
      <c r="F671" t="s">
        <v>15</v>
      </c>
      <c r="G671" t="s">
        <v>51</v>
      </c>
      <c r="H671">
        <v>3</v>
      </c>
      <c r="I671">
        <v>12726.71</v>
      </c>
      <c r="J671">
        <v>38180.129999999997</v>
      </c>
      <c r="K671">
        <v>8322.2199999999993</v>
      </c>
    </row>
    <row r="672" spans="1:11" x14ac:dyDescent="0.3">
      <c r="A672" t="s">
        <v>709</v>
      </c>
      <c r="B672" s="1">
        <v>45760</v>
      </c>
      <c r="C672" t="s">
        <v>35</v>
      </c>
      <c r="D672" t="s">
        <v>13</v>
      </c>
      <c r="E672" t="s">
        <v>14</v>
      </c>
      <c r="F672" t="s">
        <v>15</v>
      </c>
      <c r="G672" t="s">
        <v>51</v>
      </c>
      <c r="H672">
        <v>1</v>
      </c>
      <c r="I672">
        <v>946.39</v>
      </c>
      <c r="J672">
        <v>946.39</v>
      </c>
      <c r="K672">
        <v>149.80000000000001</v>
      </c>
    </row>
    <row r="673" spans="1:11" x14ac:dyDescent="0.3">
      <c r="A673" t="s">
        <v>710</v>
      </c>
      <c r="B673" s="1">
        <v>45975</v>
      </c>
      <c r="C673" t="s">
        <v>26</v>
      </c>
      <c r="D673" t="s">
        <v>13</v>
      </c>
      <c r="E673" t="s">
        <v>14</v>
      </c>
      <c r="F673" t="s">
        <v>23</v>
      </c>
      <c r="G673" t="s">
        <v>36</v>
      </c>
      <c r="H673">
        <v>4</v>
      </c>
      <c r="I673">
        <v>1915.25</v>
      </c>
      <c r="J673">
        <v>7661</v>
      </c>
      <c r="K673">
        <v>2883.83</v>
      </c>
    </row>
    <row r="674" spans="1:11" x14ac:dyDescent="0.3">
      <c r="A674" t="s">
        <v>711</v>
      </c>
      <c r="B674" s="1">
        <v>45899</v>
      </c>
      <c r="C674" t="s">
        <v>18</v>
      </c>
      <c r="D674" t="s">
        <v>13</v>
      </c>
      <c r="E674" t="s">
        <v>33</v>
      </c>
      <c r="F674" t="s">
        <v>23</v>
      </c>
      <c r="G674" t="s">
        <v>16</v>
      </c>
      <c r="H674">
        <v>1</v>
      </c>
      <c r="I674">
        <v>44016.11</v>
      </c>
      <c r="J674">
        <v>44016.11</v>
      </c>
      <c r="K674">
        <v>14301.38</v>
      </c>
    </row>
    <row r="675" spans="1:11" x14ac:dyDescent="0.3">
      <c r="A675" t="s">
        <v>712</v>
      </c>
      <c r="B675" s="1">
        <v>45905</v>
      </c>
      <c r="C675" t="s">
        <v>29</v>
      </c>
      <c r="D675" t="s">
        <v>13</v>
      </c>
      <c r="E675" t="s">
        <v>14</v>
      </c>
      <c r="F675" t="s">
        <v>23</v>
      </c>
      <c r="G675" t="s">
        <v>16</v>
      </c>
      <c r="H675">
        <v>3</v>
      </c>
      <c r="I675">
        <v>11139.23</v>
      </c>
      <c r="J675">
        <v>33417.69</v>
      </c>
      <c r="K675">
        <v>6627.52</v>
      </c>
    </row>
    <row r="676" spans="1:11" x14ac:dyDescent="0.3">
      <c r="A676" t="s">
        <v>713</v>
      </c>
      <c r="B676" s="1">
        <v>45997</v>
      </c>
      <c r="C676" t="s">
        <v>50</v>
      </c>
      <c r="D676" t="s">
        <v>39</v>
      </c>
      <c r="E676" t="s">
        <v>33</v>
      </c>
      <c r="F676" t="s">
        <v>23</v>
      </c>
      <c r="G676" t="s">
        <v>30</v>
      </c>
      <c r="H676">
        <v>1</v>
      </c>
      <c r="I676">
        <v>326.92</v>
      </c>
      <c r="J676">
        <v>326.92</v>
      </c>
      <c r="K676">
        <v>100.09</v>
      </c>
    </row>
    <row r="677" spans="1:11" x14ac:dyDescent="0.3">
      <c r="A677" t="s">
        <v>714</v>
      </c>
      <c r="B677" s="1">
        <v>45896</v>
      </c>
      <c r="C677" t="s">
        <v>35</v>
      </c>
      <c r="D677" t="s">
        <v>13</v>
      </c>
      <c r="E677" t="s">
        <v>43</v>
      </c>
      <c r="F677" t="s">
        <v>15</v>
      </c>
      <c r="G677" t="s">
        <v>30</v>
      </c>
      <c r="H677">
        <v>4</v>
      </c>
      <c r="I677">
        <v>821.99</v>
      </c>
      <c r="J677">
        <v>3287.96</v>
      </c>
      <c r="K677">
        <v>684.89</v>
      </c>
    </row>
    <row r="678" spans="1:11" x14ac:dyDescent="0.3">
      <c r="A678" t="s">
        <v>715</v>
      </c>
      <c r="B678" s="1">
        <v>45807</v>
      </c>
      <c r="C678" t="s">
        <v>35</v>
      </c>
      <c r="D678" t="s">
        <v>13</v>
      </c>
      <c r="E678" t="s">
        <v>14</v>
      </c>
      <c r="F678" t="s">
        <v>23</v>
      </c>
      <c r="G678" t="s">
        <v>36</v>
      </c>
      <c r="H678">
        <v>1</v>
      </c>
      <c r="I678">
        <v>986.36</v>
      </c>
      <c r="J678">
        <v>986.36</v>
      </c>
      <c r="K678">
        <v>244.4</v>
      </c>
    </row>
    <row r="679" spans="1:11" x14ac:dyDescent="0.3">
      <c r="A679" t="s">
        <v>716</v>
      </c>
      <c r="B679" s="1">
        <v>45963</v>
      </c>
      <c r="C679" t="s">
        <v>50</v>
      </c>
      <c r="D679" t="s">
        <v>39</v>
      </c>
      <c r="E679" t="s">
        <v>33</v>
      </c>
      <c r="F679" t="s">
        <v>15</v>
      </c>
      <c r="G679" t="s">
        <v>30</v>
      </c>
      <c r="H679">
        <v>1</v>
      </c>
      <c r="I679">
        <v>328.92</v>
      </c>
      <c r="J679">
        <v>328.92</v>
      </c>
      <c r="K679">
        <v>42.31</v>
      </c>
    </row>
    <row r="680" spans="1:11" x14ac:dyDescent="0.3">
      <c r="A680" t="s">
        <v>717</v>
      </c>
      <c r="B680" s="1">
        <v>45784</v>
      </c>
      <c r="C680" t="s">
        <v>50</v>
      </c>
      <c r="D680" t="s">
        <v>39</v>
      </c>
      <c r="E680" t="s">
        <v>14</v>
      </c>
      <c r="F680" t="s">
        <v>23</v>
      </c>
      <c r="G680" t="s">
        <v>24</v>
      </c>
      <c r="H680">
        <v>1</v>
      </c>
      <c r="I680">
        <v>349.3</v>
      </c>
      <c r="J680">
        <v>349.3</v>
      </c>
      <c r="K680">
        <v>65.13</v>
      </c>
    </row>
    <row r="681" spans="1:11" x14ac:dyDescent="0.3">
      <c r="A681" t="s">
        <v>718</v>
      </c>
      <c r="B681" s="1">
        <v>45839</v>
      </c>
      <c r="C681" t="s">
        <v>35</v>
      </c>
      <c r="D681" t="s">
        <v>13</v>
      </c>
      <c r="E681" t="s">
        <v>43</v>
      </c>
      <c r="F681" t="s">
        <v>15</v>
      </c>
      <c r="G681" t="s">
        <v>24</v>
      </c>
      <c r="H681">
        <v>1</v>
      </c>
      <c r="I681">
        <v>989.28</v>
      </c>
      <c r="J681">
        <v>989.28</v>
      </c>
      <c r="K681">
        <v>124.22</v>
      </c>
    </row>
    <row r="682" spans="1:11" x14ac:dyDescent="0.3">
      <c r="A682" t="s">
        <v>719</v>
      </c>
      <c r="B682" s="1">
        <v>45856</v>
      </c>
      <c r="C682" t="s">
        <v>18</v>
      </c>
      <c r="D682" t="s">
        <v>13</v>
      </c>
      <c r="E682" t="s">
        <v>43</v>
      </c>
      <c r="F682" t="s">
        <v>23</v>
      </c>
      <c r="G682" t="s">
        <v>51</v>
      </c>
      <c r="H682">
        <v>4</v>
      </c>
      <c r="I682">
        <v>45772.58</v>
      </c>
      <c r="J682">
        <v>183090.32</v>
      </c>
      <c r="K682">
        <v>58835.8</v>
      </c>
    </row>
    <row r="683" spans="1:11" x14ac:dyDescent="0.3">
      <c r="A683" t="s">
        <v>720</v>
      </c>
      <c r="B683" s="1">
        <v>45702</v>
      </c>
      <c r="C683" t="s">
        <v>57</v>
      </c>
      <c r="D683" t="s">
        <v>13</v>
      </c>
      <c r="E683" t="s">
        <v>22</v>
      </c>
      <c r="F683" t="s">
        <v>23</v>
      </c>
      <c r="G683" t="s">
        <v>51</v>
      </c>
      <c r="H683">
        <v>1</v>
      </c>
      <c r="I683">
        <v>546.05999999999995</v>
      </c>
      <c r="J683">
        <v>546.05999999999995</v>
      </c>
      <c r="K683">
        <v>120.55</v>
      </c>
    </row>
    <row r="684" spans="1:11" x14ac:dyDescent="0.3">
      <c r="A684" t="s">
        <v>721</v>
      </c>
      <c r="B684" s="1">
        <v>45951</v>
      </c>
      <c r="C684" t="s">
        <v>26</v>
      </c>
      <c r="D684" t="s">
        <v>13</v>
      </c>
      <c r="E684" t="s">
        <v>27</v>
      </c>
      <c r="F684" t="s">
        <v>15</v>
      </c>
      <c r="G684" t="s">
        <v>51</v>
      </c>
      <c r="H684">
        <v>2</v>
      </c>
      <c r="I684">
        <v>1732.46</v>
      </c>
      <c r="J684">
        <v>3464.92</v>
      </c>
      <c r="K684">
        <v>771.31</v>
      </c>
    </row>
    <row r="685" spans="1:11" x14ac:dyDescent="0.3">
      <c r="A685" t="s">
        <v>722</v>
      </c>
      <c r="B685" s="1">
        <v>45992</v>
      </c>
      <c r="C685" t="s">
        <v>26</v>
      </c>
      <c r="D685" t="s">
        <v>13</v>
      </c>
      <c r="E685" t="s">
        <v>22</v>
      </c>
      <c r="F685" t="s">
        <v>23</v>
      </c>
      <c r="G685" t="s">
        <v>16</v>
      </c>
      <c r="H685">
        <v>2</v>
      </c>
      <c r="I685">
        <v>1866.26</v>
      </c>
      <c r="J685">
        <v>3732.52</v>
      </c>
      <c r="K685">
        <v>1222.02</v>
      </c>
    </row>
    <row r="686" spans="1:11" x14ac:dyDescent="0.3">
      <c r="A686" t="s">
        <v>723</v>
      </c>
      <c r="B686" s="1">
        <v>45727</v>
      </c>
      <c r="C686" t="s">
        <v>62</v>
      </c>
      <c r="D686" t="s">
        <v>63</v>
      </c>
      <c r="E686" t="s">
        <v>33</v>
      </c>
      <c r="F686" t="s">
        <v>15</v>
      </c>
      <c r="G686" t="s">
        <v>24</v>
      </c>
      <c r="H686">
        <v>5</v>
      </c>
      <c r="I686">
        <v>131.41999999999999</v>
      </c>
      <c r="J686">
        <v>657.1</v>
      </c>
      <c r="K686">
        <v>224.9</v>
      </c>
    </row>
    <row r="687" spans="1:11" x14ac:dyDescent="0.3">
      <c r="A687" t="s">
        <v>724</v>
      </c>
      <c r="B687" s="1">
        <v>45692</v>
      </c>
      <c r="C687" t="s">
        <v>50</v>
      </c>
      <c r="D687" t="s">
        <v>39</v>
      </c>
      <c r="E687" t="s">
        <v>22</v>
      </c>
      <c r="F687" t="s">
        <v>15</v>
      </c>
      <c r="G687" t="s">
        <v>24</v>
      </c>
      <c r="H687">
        <v>2</v>
      </c>
      <c r="I687">
        <v>365.36</v>
      </c>
      <c r="J687">
        <v>730.72</v>
      </c>
      <c r="K687">
        <v>242.69</v>
      </c>
    </row>
    <row r="688" spans="1:11" x14ac:dyDescent="0.3">
      <c r="A688" t="s">
        <v>725</v>
      </c>
      <c r="B688" s="1">
        <v>45869</v>
      </c>
      <c r="C688" t="s">
        <v>62</v>
      </c>
      <c r="D688" t="s">
        <v>63</v>
      </c>
      <c r="E688" t="s">
        <v>43</v>
      </c>
      <c r="F688" t="s">
        <v>15</v>
      </c>
      <c r="G688" t="s">
        <v>51</v>
      </c>
      <c r="H688">
        <v>1</v>
      </c>
      <c r="I688">
        <v>125.89</v>
      </c>
      <c r="J688">
        <v>125.89</v>
      </c>
      <c r="K688">
        <v>20.94</v>
      </c>
    </row>
    <row r="689" spans="1:11" x14ac:dyDescent="0.3">
      <c r="A689" t="s">
        <v>726</v>
      </c>
      <c r="B689" s="1">
        <v>45712</v>
      </c>
      <c r="C689" t="s">
        <v>26</v>
      </c>
      <c r="D689" t="s">
        <v>13</v>
      </c>
      <c r="E689" t="s">
        <v>43</v>
      </c>
      <c r="F689" t="s">
        <v>15</v>
      </c>
      <c r="G689" t="s">
        <v>16</v>
      </c>
      <c r="H689">
        <v>1</v>
      </c>
      <c r="I689">
        <v>1894.48</v>
      </c>
      <c r="J689">
        <v>1894.48</v>
      </c>
      <c r="K689">
        <v>418.46</v>
      </c>
    </row>
    <row r="690" spans="1:11" x14ac:dyDescent="0.3">
      <c r="A690" t="s">
        <v>727</v>
      </c>
      <c r="B690" s="1">
        <v>45776</v>
      </c>
      <c r="C690" t="s">
        <v>20</v>
      </c>
      <c r="D690" t="s">
        <v>21</v>
      </c>
      <c r="E690" t="s">
        <v>27</v>
      </c>
      <c r="F690" t="s">
        <v>15</v>
      </c>
      <c r="G690" t="s">
        <v>16</v>
      </c>
      <c r="H690">
        <v>2</v>
      </c>
      <c r="I690">
        <v>6317.04</v>
      </c>
      <c r="J690">
        <v>12634.08</v>
      </c>
      <c r="K690">
        <v>2540.5</v>
      </c>
    </row>
    <row r="691" spans="1:11" x14ac:dyDescent="0.3">
      <c r="A691" t="s">
        <v>728</v>
      </c>
      <c r="B691" s="1">
        <v>45967</v>
      </c>
      <c r="C691" t="s">
        <v>38</v>
      </c>
      <c r="D691" t="s">
        <v>39</v>
      </c>
      <c r="E691" t="s">
        <v>27</v>
      </c>
      <c r="F691" t="s">
        <v>23</v>
      </c>
      <c r="G691" t="s">
        <v>51</v>
      </c>
      <c r="H691">
        <v>3</v>
      </c>
      <c r="I691">
        <v>1169.75</v>
      </c>
      <c r="J691">
        <v>3509.25</v>
      </c>
      <c r="K691">
        <v>556.03</v>
      </c>
    </row>
    <row r="692" spans="1:11" x14ac:dyDescent="0.3">
      <c r="A692" t="s">
        <v>729</v>
      </c>
      <c r="B692" s="1">
        <v>45741</v>
      </c>
      <c r="C692" t="s">
        <v>20</v>
      </c>
      <c r="D692" t="s">
        <v>21</v>
      </c>
      <c r="E692" t="s">
        <v>43</v>
      </c>
      <c r="F692" t="s">
        <v>23</v>
      </c>
      <c r="G692" t="s">
        <v>51</v>
      </c>
      <c r="H692">
        <v>1</v>
      </c>
      <c r="I692">
        <v>6381.17</v>
      </c>
      <c r="J692">
        <v>6381.17</v>
      </c>
      <c r="K692">
        <v>817.48</v>
      </c>
    </row>
    <row r="693" spans="1:11" x14ac:dyDescent="0.3">
      <c r="A693" t="s">
        <v>730</v>
      </c>
      <c r="B693" s="1">
        <v>46001</v>
      </c>
      <c r="C693" t="s">
        <v>20</v>
      </c>
      <c r="D693" t="s">
        <v>21</v>
      </c>
      <c r="E693" t="s">
        <v>27</v>
      </c>
      <c r="F693" t="s">
        <v>23</v>
      </c>
      <c r="G693" t="s">
        <v>24</v>
      </c>
      <c r="H693">
        <v>3</v>
      </c>
      <c r="I693">
        <v>5935.98</v>
      </c>
      <c r="J693">
        <v>17807.939999999999</v>
      </c>
      <c r="K693">
        <v>2474.4699999999998</v>
      </c>
    </row>
    <row r="694" spans="1:11" x14ac:dyDescent="0.3">
      <c r="A694" t="s">
        <v>731</v>
      </c>
      <c r="B694" s="1">
        <v>45892</v>
      </c>
      <c r="C694" t="s">
        <v>20</v>
      </c>
      <c r="D694" t="s">
        <v>21</v>
      </c>
      <c r="E694" t="s">
        <v>27</v>
      </c>
      <c r="F694" t="s">
        <v>23</v>
      </c>
      <c r="G694" t="s">
        <v>36</v>
      </c>
      <c r="H694">
        <v>2</v>
      </c>
      <c r="I694">
        <v>6859.08</v>
      </c>
      <c r="J694">
        <v>13718.16</v>
      </c>
      <c r="K694">
        <v>3044.58</v>
      </c>
    </row>
    <row r="695" spans="1:11" x14ac:dyDescent="0.3">
      <c r="A695" t="s">
        <v>732</v>
      </c>
      <c r="B695" s="1">
        <v>45971</v>
      </c>
      <c r="C695" t="s">
        <v>57</v>
      </c>
      <c r="D695" t="s">
        <v>13</v>
      </c>
      <c r="E695" t="s">
        <v>14</v>
      </c>
      <c r="F695" t="s">
        <v>15</v>
      </c>
      <c r="G695" t="s">
        <v>36</v>
      </c>
      <c r="H695">
        <v>2</v>
      </c>
      <c r="I695">
        <v>503.62</v>
      </c>
      <c r="J695">
        <v>1007.24</v>
      </c>
      <c r="K695">
        <v>214.78</v>
      </c>
    </row>
    <row r="696" spans="1:11" x14ac:dyDescent="0.3">
      <c r="A696" t="s">
        <v>733</v>
      </c>
      <c r="B696" s="1">
        <v>45891</v>
      </c>
      <c r="C696" t="s">
        <v>18</v>
      </c>
      <c r="D696" t="s">
        <v>13</v>
      </c>
      <c r="E696" t="s">
        <v>14</v>
      </c>
      <c r="F696" t="s">
        <v>23</v>
      </c>
      <c r="G696" t="s">
        <v>16</v>
      </c>
      <c r="H696">
        <v>4</v>
      </c>
      <c r="I696">
        <v>39864.06</v>
      </c>
      <c r="J696">
        <v>159456.24</v>
      </c>
      <c r="K696">
        <v>38294.06</v>
      </c>
    </row>
    <row r="697" spans="1:11" x14ac:dyDescent="0.3">
      <c r="A697" t="s">
        <v>734</v>
      </c>
      <c r="B697" s="1">
        <v>45980</v>
      </c>
      <c r="C697" t="s">
        <v>18</v>
      </c>
      <c r="D697" t="s">
        <v>13</v>
      </c>
      <c r="E697" t="s">
        <v>43</v>
      </c>
      <c r="F697" t="s">
        <v>23</v>
      </c>
      <c r="G697" t="s">
        <v>51</v>
      </c>
      <c r="H697">
        <v>1</v>
      </c>
      <c r="I697">
        <v>41492.25</v>
      </c>
      <c r="J697">
        <v>41492.25</v>
      </c>
      <c r="K697">
        <v>6226.19</v>
      </c>
    </row>
    <row r="698" spans="1:11" x14ac:dyDescent="0.3">
      <c r="A698" t="s">
        <v>735</v>
      </c>
      <c r="B698" s="1">
        <v>45874</v>
      </c>
      <c r="C698" t="s">
        <v>32</v>
      </c>
      <c r="D698" t="s">
        <v>21</v>
      </c>
      <c r="E698" t="s">
        <v>22</v>
      </c>
      <c r="F698" t="s">
        <v>23</v>
      </c>
      <c r="G698" t="s">
        <v>36</v>
      </c>
      <c r="H698">
        <v>2</v>
      </c>
      <c r="I698">
        <v>8198.18</v>
      </c>
      <c r="J698">
        <v>16396.36</v>
      </c>
      <c r="K698">
        <v>4026.75</v>
      </c>
    </row>
    <row r="699" spans="1:11" x14ac:dyDescent="0.3">
      <c r="A699" t="s">
        <v>736</v>
      </c>
      <c r="B699" s="1">
        <v>45704</v>
      </c>
      <c r="C699" t="s">
        <v>57</v>
      </c>
      <c r="D699" t="s">
        <v>13</v>
      </c>
      <c r="E699" t="s">
        <v>33</v>
      </c>
      <c r="F699" t="s">
        <v>15</v>
      </c>
      <c r="G699" t="s">
        <v>36</v>
      </c>
      <c r="H699">
        <v>2</v>
      </c>
      <c r="I699">
        <v>467.98</v>
      </c>
      <c r="J699">
        <v>935.96</v>
      </c>
      <c r="K699">
        <v>213.2</v>
      </c>
    </row>
    <row r="700" spans="1:11" x14ac:dyDescent="0.3">
      <c r="A700" t="s">
        <v>737</v>
      </c>
      <c r="B700" s="1">
        <v>45869</v>
      </c>
      <c r="C700" t="s">
        <v>117</v>
      </c>
      <c r="D700" t="s">
        <v>63</v>
      </c>
      <c r="E700" t="s">
        <v>22</v>
      </c>
      <c r="F700" t="s">
        <v>23</v>
      </c>
      <c r="G700" t="s">
        <v>30</v>
      </c>
      <c r="H700">
        <v>2</v>
      </c>
      <c r="I700">
        <v>74.86</v>
      </c>
      <c r="J700">
        <v>149.72</v>
      </c>
      <c r="K700">
        <v>33.909999999999997</v>
      </c>
    </row>
    <row r="701" spans="1:11" x14ac:dyDescent="0.3">
      <c r="A701" t="s">
        <v>738</v>
      </c>
      <c r="B701" s="1">
        <v>45786</v>
      </c>
      <c r="C701" t="s">
        <v>117</v>
      </c>
      <c r="D701" t="s">
        <v>63</v>
      </c>
      <c r="E701" t="s">
        <v>14</v>
      </c>
      <c r="F701" t="s">
        <v>15</v>
      </c>
      <c r="G701" t="s">
        <v>30</v>
      </c>
      <c r="H701">
        <v>2</v>
      </c>
      <c r="I701">
        <v>86.51</v>
      </c>
      <c r="J701">
        <v>173.02</v>
      </c>
      <c r="K701">
        <v>29.92</v>
      </c>
    </row>
    <row r="702" spans="1:11" x14ac:dyDescent="0.3">
      <c r="A702" t="s">
        <v>739</v>
      </c>
      <c r="B702" s="1">
        <v>46019</v>
      </c>
      <c r="C702" t="s">
        <v>38</v>
      </c>
      <c r="D702" t="s">
        <v>39</v>
      </c>
      <c r="E702" t="s">
        <v>33</v>
      </c>
      <c r="F702" t="s">
        <v>15</v>
      </c>
      <c r="G702" t="s">
        <v>36</v>
      </c>
      <c r="H702">
        <v>2</v>
      </c>
      <c r="I702">
        <v>1100.47</v>
      </c>
      <c r="J702">
        <v>2200.94</v>
      </c>
      <c r="K702">
        <v>431.62</v>
      </c>
    </row>
    <row r="703" spans="1:11" x14ac:dyDescent="0.3">
      <c r="A703" t="s">
        <v>740</v>
      </c>
      <c r="B703" s="1">
        <v>45939</v>
      </c>
      <c r="C703" t="s">
        <v>62</v>
      </c>
      <c r="D703" t="s">
        <v>63</v>
      </c>
      <c r="E703" t="s">
        <v>22</v>
      </c>
      <c r="F703" t="s">
        <v>15</v>
      </c>
      <c r="G703" t="s">
        <v>51</v>
      </c>
      <c r="H703">
        <v>1</v>
      </c>
      <c r="I703">
        <v>112.1</v>
      </c>
      <c r="J703">
        <v>112.1</v>
      </c>
      <c r="K703">
        <v>32.83</v>
      </c>
    </row>
    <row r="704" spans="1:11" x14ac:dyDescent="0.3">
      <c r="A704" t="s">
        <v>741</v>
      </c>
      <c r="B704" s="1">
        <v>45749</v>
      </c>
      <c r="C704" t="s">
        <v>57</v>
      </c>
      <c r="D704" t="s">
        <v>13</v>
      </c>
      <c r="E704" t="s">
        <v>27</v>
      </c>
      <c r="F704" t="s">
        <v>23</v>
      </c>
      <c r="G704" t="s">
        <v>51</v>
      </c>
      <c r="H704">
        <v>1</v>
      </c>
      <c r="I704">
        <v>480.81</v>
      </c>
      <c r="J704">
        <v>480.81</v>
      </c>
      <c r="K704">
        <v>91.43</v>
      </c>
    </row>
    <row r="705" spans="1:11" x14ac:dyDescent="0.3">
      <c r="A705" t="s">
        <v>742</v>
      </c>
      <c r="B705" s="1">
        <v>45718</v>
      </c>
      <c r="C705" t="s">
        <v>26</v>
      </c>
      <c r="D705" t="s">
        <v>13</v>
      </c>
      <c r="E705" t="s">
        <v>14</v>
      </c>
      <c r="F705" t="s">
        <v>23</v>
      </c>
      <c r="G705" t="s">
        <v>36</v>
      </c>
      <c r="H705">
        <v>5</v>
      </c>
      <c r="I705">
        <v>1621.27</v>
      </c>
      <c r="J705">
        <v>8106.35</v>
      </c>
      <c r="K705">
        <v>1467.23</v>
      </c>
    </row>
    <row r="706" spans="1:11" x14ac:dyDescent="0.3">
      <c r="A706" t="s">
        <v>743</v>
      </c>
      <c r="B706" s="1">
        <v>45913</v>
      </c>
      <c r="C706" t="s">
        <v>50</v>
      </c>
      <c r="D706" t="s">
        <v>39</v>
      </c>
      <c r="E706" t="s">
        <v>22</v>
      </c>
      <c r="F706" t="s">
        <v>23</v>
      </c>
      <c r="G706" t="s">
        <v>36</v>
      </c>
      <c r="H706">
        <v>3</v>
      </c>
      <c r="I706">
        <v>357.56</v>
      </c>
      <c r="J706">
        <v>1072.68</v>
      </c>
      <c r="K706">
        <v>269.99</v>
      </c>
    </row>
    <row r="707" spans="1:11" x14ac:dyDescent="0.3">
      <c r="A707" t="s">
        <v>744</v>
      </c>
      <c r="B707" s="1">
        <v>45867</v>
      </c>
      <c r="C707" t="s">
        <v>38</v>
      </c>
      <c r="D707" t="s">
        <v>39</v>
      </c>
      <c r="E707" t="s">
        <v>33</v>
      </c>
      <c r="F707" t="s">
        <v>23</v>
      </c>
      <c r="G707" t="s">
        <v>16</v>
      </c>
      <c r="H707">
        <v>1</v>
      </c>
      <c r="I707">
        <v>1224.02</v>
      </c>
      <c r="J707">
        <v>1224.02</v>
      </c>
      <c r="K707">
        <v>387.25</v>
      </c>
    </row>
    <row r="708" spans="1:11" x14ac:dyDescent="0.3">
      <c r="A708" t="s">
        <v>745</v>
      </c>
      <c r="B708" s="1">
        <v>45979</v>
      </c>
      <c r="C708" t="s">
        <v>50</v>
      </c>
      <c r="D708" t="s">
        <v>39</v>
      </c>
      <c r="E708" t="s">
        <v>14</v>
      </c>
      <c r="F708" t="s">
        <v>23</v>
      </c>
      <c r="G708" t="s">
        <v>30</v>
      </c>
      <c r="H708">
        <v>3</v>
      </c>
      <c r="I708">
        <v>329.53</v>
      </c>
      <c r="J708">
        <v>988.59</v>
      </c>
      <c r="K708">
        <v>328.15</v>
      </c>
    </row>
    <row r="709" spans="1:11" x14ac:dyDescent="0.3">
      <c r="A709" t="s">
        <v>746</v>
      </c>
      <c r="B709" s="1">
        <v>45732</v>
      </c>
      <c r="C709" t="s">
        <v>18</v>
      </c>
      <c r="D709" t="s">
        <v>13</v>
      </c>
      <c r="E709" t="s">
        <v>14</v>
      </c>
      <c r="F709" t="s">
        <v>15</v>
      </c>
      <c r="G709" t="s">
        <v>30</v>
      </c>
      <c r="H709">
        <v>2</v>
      </c>
      <c r="I709">
        <v>44839.32</v>
      </c>
      <c r="J709">
        <v>89678.64</v>
      </c>
      <c r="K709">
        <v>27119.29</v>
      </c>
    </row>
    <row r="710" spans="1:11" x14ac:dyDescent="0.3">
      <c r="A710" t="s">
        <v>747</v>
      </c>
      <c r="B710" s="1">
        <v>45871</v>
      </c>
      <c r="C710" t="s">
        <v>26</v>
      </c>
      <c r="D710" t="s">
        <v>13</v>
      </c>
      <c r="E710" t="s">
        <v>33</v>
      </c>
      <c r="F710" t="s">
        <v>15</v>
      </c>
      <c r="G710" t="s">
        <v>36</v>
      </c>
      <c r="H710">
        <v>1</v>
      </c>
      <c r="I710">
        <v>1722.38</v>
      </c>
      <c r="J710">
        <v>1722.38</v>
      </c>
      <c r="K710">
        <v>358.53</v>
      </c>
    </row>
    <row r="711" spans="1:11" x14ac:dyDescent="0.3">
      <c r="A711" t="s">
        <v>748</v>
      </c>
      <c r="B711" s="1">
        <v>45954</v>
      </c>
      <c r="C711" t="s">
        <v>117</v>
      </c>
      <c r="D711" t="s">
        <v>63</v>
      </c>
      <c r="E711" t="s">
        <v>43</v>
      </c>
      <c r="F711" t="s">
        <v>23</v>
      </c>
      <c r="G711" t="s">
        <v>30</v>
      </c>
      <c r="H711">
        <v>4</v>
      </c>
      <c r="I711">
        <v>73.489999999999995</v>
      </c>
      <c r="J711">
        <v>293.95999999999998</v>
      </c>
      <c r="K711">
        <v>88.83</v>
      </c>
    </row>
    <row r="712" spans="1:11" x14ac:dyDescent="0.3">
      <c r="A712" t="s">
        <v>749</v>
      </c>
      <c r="B712" s="1">
        <v>45876</v>
      </c>
      <c r="C712" t="s">
        <v>50</v>
      </c>
      <c r="D712" t="s">
        <v>39</v>
      </c>
      <c r="E712" t="s">
        <v>43</v>
      </c>
      <c r="F712" t="s">
        <v>23</v>
      </c>
      <c r="G712" t="s">
        <v>16</v>
      </c>
      <c r="H712">
        <v>1</v>
      </c>
      <c r="I712">
        <v>347.96</v>
      </c>
      <c r="J712">
        <v>347.96</v>
      </c>
      <c r="K712">
        <v>121.19</v>
      </c>
    </row>
    <row r="713" spans="1:11" x14ac:dyDescent="0.3">
      <c r="A713" t="s">
        <v>750</v>
      </c>
      <c r="B713" s="1">
        <v>45869</v>
      </c>
      <c r="C713" t="s">
        <v>50</v>
      </c>
      <c r="D713" t="s">
        <v>39</v>
      </c>
      <c r="E713" t="s">
        <v>33</v>
      </c>
      <c r="F713" t="s">
        <v>15</v>
      </c>
      <c r="G713" t="s">
        <v>36</v>
      </c>
      <c r="H713">
        <v>1</v>
      </c>
      <c r="I713">
        <v>329.63</v>
      </c>
      <c r="J713">
        <v>329.63</v>
      </c>
      <c r="K713">
        <v>120.27</v>
      </c>
    </row>
    <row r="714" spans="1:11" x14ac:dyDescent="0.3">
      <c r="A714" t="s">
        <v>751</v>
      </c>
      <c r="B714" s="1">
        <v>46010</v>
      </c>
      <c r="C714" t="s">
        <v>29</v>
      </c>
      <c r="D714" t="s">
        <v>13</v>
      </c>
      <c r="E714" t="s">
        <v>33</v>
      </c>
      <c r="F714" t="s">
        <v>23</v>
      </c>
      <c r="G714" t="s">
        <v>24</v>
      </c>
      <c r="H714">
        <v>4</v>
      </c>
      <c r="I714">
        <v>13167.07</v>
      </c>
      <c r="J714">
        <v>52668.28</v>
      </c>
      <c r="K714">
        <v>16081.27</v>
      </c>
    </row>
    <row r="715" spans="1:11" x14ac:dyDescent="0.3">
      <c r="A715" t="s">
        <v>752</v>
      </c>
      <c r="B715" s="1">
        <v>45927</v>
      </c>
      <c r="C715" t="s">
        <v>29</v>
      </c>
      <c r="D715" t="s">
        <v>13</v>
      </c>
      <c r="E715" t="s">
        <v>33</v>
      </c>
      <c r="F715" t="s">
        <v>23</v>
      </c>
      <c r="G715" t="s">
        <v>16</v>
      </c>
      <c r="H715">
        <v>5</v>
      </c>
      <c r="I715">
        <v>11649.25</v>
      </c>
      <c r="J715">
        <v>58246.25</v>
      </c>
      <c r="K715">
        <v>20169.2</v>
      </c>
    </row>
    <row r="716" spans="1:11" x14ac:dyDescent="0.3">
      <c r="A716" t="s">
        <v>753</v>
      </c>
      <c r="B716" s="1">
        <v>45981</v>
      </c>
      <c r="C716" t="s">
        <v>38</v>
      </c>
      <c r="D716" t="s">
        <v>39</v>
      </c>
      <c r="E716" t="s">
        <v>43</v>
      </c>
      <c r="F716" t="s">
        <v>15</v>
      </c>
      <c r="G716" t="s">
        <v>30</v>
      </c>
      <c r="H716">
        <v>2</v>
      </c>
      <c r="I716">
        <v>1123.18</v>
      </c>
      <c r="J716">
        <v>2246.36</v>
      </c>
      <c r="K716">
        <v>497.69</v>
      </c>
    </row>
    <row r="717" spans="1:11" x14ac:dyDescent="0.3">
      <c r="A717" t="s">
        <v>754</v>
      </c>
      <c r="B717" s="1">
        <v>45718</v>
      </c>
      <c r="C717" t="s">
        <v>18</v>
      </c>
      <c r="D717" t="s">
        <v>13</v>
      </c>
      <c r="E717" t="s">
        <v>22</v>
      </c>
      <c r="F717" t="s">
        <v>23</v>
      </c>
      <c r="G717" t="s">
        <v>36</v>
      </c>
      <c r="H717">
        <v>2</v>
      </c>
      <c r="I717">
        <v>44492.55</v>
      </c>
      <c r="J717">
        <v>88985.1</v>
      </c>
      <c r="K717">
        <v>16752.18</v>
      </c>
    </row>
    <row r="718" spans="1:11" x14ac:dyDescent="0.3">
      <c r="A718" t="s">
        <v>755</v>
      </c>
      <c r="B718" s="1">
        <v>45681</v>
      </c>
      <c r="C718" t="s">
        <v>117</v>
      </c>
      <c r="D718" t="s">
        <v>63</v>
      </c>
      <c r="E718" t="s">
        <v>22</v>
      </c>
      <c r="F718" t="s">
        <v>23</v>
      </c>
      <c r="G718" t="s">
        <v>24</v>
      </c>
      <c r="H718">
        <v>1</v>
      </c>
      <c r="I718">
        <v>84.9</v>
      </c>
      <c r="J718">
        <v>84.9</v>
      </c>
      <c r="K718">
        <v>27.57</v>
      </c>
    </row>
    <row r="719" spans="1:11" x14ac:dyDescent="0.3">
      <c r="A719" t="s">
        <v>756</v>
      </c>
      <c r="B719" s="1">
        <v>45692</v>
      </c>
      <c r="C719" t="s">
        <v>32</v>
      </c>
      <c r="D719" t="s">
        <v>21</v>
      </c>
      <c r="E719" t="s">
        <v>14</v>
      </c>
      <c r="F719" t="s">
        <v>23</v>
      </c>
      <c r="G719" t="s">
        <v>24</v>
      </c>
      <c r="H719">
        <v>1</v>
      </c>
      <c r="I719">
        <v>9089.99</v>
      </c>
      <c r="J719">
        <v>9089.99</v>
      </c>
      <c r="K719">
        <v>1641.39</v>
      </c>
    </row>
    <row r="720" spans="1:11" x14ac:dyDescent="0.3">
      <c r="A720" t="s">
        <v>757</v>
      </c>
      <c r="B720" s="1">
        <v>45860</v>
      </c>
      <c r="C720" t="s">
        <v>57</v>
      </c>
      <c r="D720" t="s">
        <v>13</v>
      </c>
      <c r="E720" t="s">
        <v>22</v>
      </c>
      <c r="F720" t="s">
        <v>23</v>
      </c>
      <c r="G720" t="s">
        <v>24</v>
      </c>
      <c r="H720">
        <v>2</v>
      </c>
      <c r="I720">
        <v>546.01</v>
      </c>
      <c r="J720">
        <v>1092.02</v>
      </c>
      <c r="K720">
        <v>178.73</v>
      </c>
    </row>
    <row r="721" spans="1:11" x14ac:dyDescent="0.3">
      <c r="A721" t="s">
        <v>758</v>
      </c>
      <c r="B721" s="1">
        <v>46002</v>
      </c>
      <c r="C721" t="s">
        <v>38</v>
      </c>
      <c r="D721" t="s">
        <v>39</v>
      </c>
      <c r="E721" t="s">
        <v>27</v>
      </c>
      <c r="F721" t="s">
        <v>15</v>
      </c>
      <c r="G721" t="s">
        <v>36</v>
      </c>
      <c r="H721">
        <v>4</v>
      </c>
      <c r="I721">
        <v>1271.3399999999999</v>
      </c>
      <c r="J721">
        <v>5085.3599999999997</v>
      </c>
      <c r="K721">
        <v>1078.76</v>
      </c>
    </row>
    <row r="722" spans="1:11" x14ac:dyDescent="0.3">
      <c r="A722" t="s">
        <v>759</v>
      </c>
      <c r="B722" s="1">
        <v>45932</v>
      </c>
      <c r="C722" t="s">
        <v>117</v>
      </c>
      <c r="D722" t="s">
        <v>63</v>
      </c>
      <c r="E722" t="s">
        <v>14</v>
      </c>
      <c r="F722" t="s">
        <v>23</v>
      </c>
      <c r="G722" t="s">
        <v>16</v>
      </c>
      <c r="H722">
        <v>2</v>
      </c>
      <c r="I722">
        <v>85.03</v>
      </c>
      <c r="J722">
        <v>170.06</v>
      </c>
      <c r="K722">
        <v>23.6</v>
      </c>
    </row>
    <row r="723" spans="1:11" x14ac:dyDescent="0.3">
      <c r="A723" t="s">
        <v>760</v>
      </c>
      <c r="B723" s="1">
        <v>46005</v>
      </c>
      <c r="C723" t="s">
        <v>117</v>
      </c>
      <c r="D723" t="s">
        <v>63</v>
      </c>
      <c r="E723" t="s">
        <v>43</v>
      </c>
      <c r="F723" t="s">
        <v>23</v>
      </c>
      <c r="G723" t="s">
        <v>30</v>
      </c>
      <c r="H723">
        <v>2</v>
      </c>
      <c r="I723">
        <v>72.3</v>
      </c>
      <c r="J723">
        <v>144.6</v>
      </c>
      <c r="K723">
        <v>33.24</v>
      </c>
    </row>
    <row r="724" spans="1:11" x14ac:dyDescent="0.3">
      <c r="A724" t="s">
        <v>761</v>
      </c>
      <c r="B724" s="1">
        <v>45734</v>
      </c>
      <c r="C724" t="s">
        <v>32</v>
      </c>
      <c r="D724" t="s">
        <v>21</v>
      </c>
      <c r="E724" t="s">
        <v>33</v>
      </c>
      <c r="F724" t="s">
        <v>15</v>
      </c>
      <c r="G724" t="s">
        <v>16</v>
      </c>
      <c r="H724">
        <v>3</v>
      </c>
      <c r="I724">
        <v>8710.4699999999993</v>
      </c>
      <c r="J724">
        <v>26131.41</v>
      </c>
      <c r="K724">
        <v>7380.49</v>
      </c>
    </row>
    <row r="725" spans="1:11" x14ac:dyDescent="0.3">
      <c r="A725" t="s">
        <v>762</v>
      </c>
      <c r="B725" s="1">
        <v>45968</v>
      </c>
      <c r="C725" t="s">
        <v>62</v>
      </c>
      <c r="D725" t="s">
        <v>63</v>
      </c>
      <c r="E725" t="s">
        <v>43</v>
      </c>
      <c r="F725" t="s">
        <v>23</v>
      </c>
      <c r="G725" t="s">
        <v>30</v>
      </c>
      <c r="H725">
        <v>1</v>
      </c>
      <c r="I725">
        <v>110.8</v>
      </c>
      <c r="J725">
        <v>110.8</v>
      </c>
      <c r="K725">
        <v>19.57</v>
      </c>
    </row>
    <row r="726" spans="1:11" x14ac:dyDescent="0.3">
      <c r="A726" t="s">
        <v>763</v>
      </c>
      <c r="B726" s="1">
        <v>45797</v>
      </c>
      <c r="C726" t="s">
        <v>62</v>
      </c>
      <c r="D726" t="s">
        <v>63</v>
      </c>
      <c r="E726" t="s">
        <v>43</v>
      </c>
      <c r="F726" t="s">
        <v>15</v>
      </c>
      <c r="G726" t="s">
        <v>16</v>
      </c>
      <c r="H726">
        <v>1</v>
      </c>
      <c r="I726">
        <v>129.05000000000001</v>
      </c>
      <c r="J726">
        <v>129.05000000000001</v>
      </c>
      <c r="K726">
        <v>36.57</v>
      </c>
    </row>
    <row r="727" spans="1:11" x14ac:dyDescent="0.3">
      <c r="A727" t="s">
        <v>764</v>
      </c>
      <c r="B727" s="1">
        <v>45812</v>
      </c>
      <c r="C727" t="s">
        <v>26</v>
      </c>
      <c r="D727" t="s">
        <v>13</v>
      </c>
      <c r="E727" t="s">
        <v>14</v>
      </c>
      <c r="F727" t="s">
        <v>23</v>
      </c>
      <c r="G727" t="s">
        <v>16</v>
      </c>
      <c r="H727">
        <v>1</v>
      </c>
      <c r="I727">
        <v>1902.58</v>
      </c>
      <c r="J727">
        <v>1902.58</v>
      </c>
      <c r="K727">
        <v>338.23</v>
      </c>
    </row>
    <row r="728" spans="1:11" x14ac:dyDescent="0.3">
      <c r="A728" t="s">
        <v>765</v>
      </c>
      <c r="B728" s="1">
        <v>45670</v>
      </c>
      <c r="C728" t="s">
        <v>38</v>
      </c>
      <c r="D728" t="s">
        <v>39</v>
      </c>
      <c r="E728" t="s">
        <v>27</v>
      </c>
      <c r="F728" t="s">
        <v>23</v>
      </c>
      <c r="G728" t="s">
        <v>24</v>
      </c>
      <c r="H728">
        <v>4</v>
      </c>
      <c r="I728">
        <v>1116.98</v>
      </c>
      <c r="J728">
        <v>4467.92</v>
      </c>
      <c r="K728">
        <v>1302.71</v>
      </c>
    </row>
    <row r="729" spans="1:11" x14ac:dyDescent="0.3">
      <c r="A729" t="s">
        <v>766</v>
      </c>
      <c r="B729" s="1">
        <v>45731</v>
      </c>
      <c r="C729" t="s">
        <v>12</v>
      </c>
      <c r="D729" t="s">
        <v>13</v>
      </c>
      <c r="E729" t="s">
        <v>22</v>
      </c>
      <c r="F729" t="s">
        <v>15</v>
      </c>
      <c r="G729" t="s">
        <v>30</v>
      </c>
      <c r="H729">
        <v>3</v>
      </c>
      <c r="I729">
        <v>19576.89</v>
      </c>
      <c r="J729">
        <v>58730.67</v>
      </c>
      <c r="K729">
        <v>11984.2</v>
      </c>
    </row>
    <row r="730" spans="1:11" x14ac:dyDescent="0.3">
      <c r="A730" t="s">
        <v>767</v>
      </c>
      <c r="B730" s="1">
        <v>45893</v>
      </c>
      <c r="C730" t="s">
        <v>62</v>
      </c>
      <c r="D730" t="s">
        <v>63</v>
      </c>
      <c r="E730" t="s">
        <v>14</v>
      </c>
      <c r="F730" t="s">
        <v>15</v>
      </c>
      <c r="G730" t="s">
        <v>24</v>
      </c>
      <c r="H730">
        <v>3</v>
      </c>
      <c r="I730">
        <v>120.54</v>
      </c>
      <c r="J730">
        <v>361.62</v>
      </c>
      <c r="K730">
        <v>137.03</v>
      </c>
    </row>
    <row r="731" spans="1:11" x14ac:dyDescent="0.3">
      <c r="A731" t="s">
        <v>768</v>
      </c>
      <c r="B731" s="1">
        <v>45897</v>
      </c>
      <c r="C731" t="s">
        <v>18</v>
      </c>
      <c r="D731" t="s">
        <v>13</v>
      </c>
      <c r="E731" t="s">
        <v>14</v>
      </c>
      <c r="F731" t="s">
        <v>23</v>
      </c>
      <c r="G731" t="s">
        <v>51</v>
      </c>
      <c r="H731">
        <v>1</v>
      </c>
      <c r="I731">
        <v>44235.91</v>
      </c>
      <c r="J731">
        <v>44235.91</v>
      </c>
      <c r="K731">
        <v>8234.77</v>
      </c>
    </row>
    <row r="732" spans="1:11" x14ac:dyDescent="0.3">
      <c r="A732" t="s">
        <v>769</v>
      </c>
      <c r="B732" s="1">
        <v>45822</v>
      </c>
      <c r="C732" t="s">
        <v>20</v>
      </c>
      <c r="D732" t="s">
        <v>21</v>
      </c>
      <c r="E732" t="s">
        <v>27</v>
      </c>
      <c r="F732" t="s">
        <v>15</v>
      </c>
      <c r="G732" t="s">
        <v>24</v>
      </c>
      <c r="H732">
        <v>1</v>
      </c>
      <c r="I732">
        <v>6209.64</v>
      </c>
      <c r="J732">
        <v>6209.64</v>
      </c>
      <c r="K732">
        <v>1844.39</v>
      </c>
    </row>
    <row r="733" spans="1:11" x14ac:dyDescent="0.3">
      <c r="A733" t="s">
        <v>770</v>
      </c>
      <c r="B733" s="1">
        <v>45734</v>
      </c>
      <c r="C733" t="s">
        <v>26</v>
      </c>
      <c r="D733" t="s">
        <v>13</v>
      </c>
      <c r="E733" t="s">
        <v>33</v>
      </c>
      <c r="F733" t="s">
        <v>15</v>
      </c>
      <c r="G733" t="s">
        <v>51</v>
      </c>
      <c r="H733">
        <v>1</v>
      </c>
      <c r="I733">
        <v>1625.49</v>
      </c>
      <c r="J733">
        <v>1625.49</v>
      </c>
      <c r="K733">
        <v>354.41</v>
      </c>
    </row>
    <row r="734" spans="1:11" x14ac:dyDescent="0.3">
      <c r="A734" t="s">
        <v>771</v>
      </c>
      <c r="B734" s="1">
        <v>45935</v>
      </c>
      <c r="C734" t="s">
        <v>117</v>
      </c>
      <c r="D734" t="s">
        <v>63</v>
      </c>
      <c r="E734" t="s">
        <v>43</v>
      </c>
      <c r="F734" t="s">
        <v>15</v>
      </c>
      <c r="G734" t="s">
        <v>51</v>
      </c>
      <c r="H734">
        <v>2</v>
      </c>
      <c r="I734">
        <v>76.34</v>
      </c>
      <c r="J734">
        <v>152.68</v>
      </c>
      <c r="K734">
        <v>20.57</v>
      </c>
    </row>
    <row r="735" spans="1:11" x14ac:dyDescent="0.3">
      <c r="A735" t="s">
        <v>772</v>
      </c>
      <c r="B735" s="1">
        <v>45694</v>
      </c>
      <c r="C735" t="s">
        <v>32</v>
      </c>
      <c r="D735" t="s">
        <v>21</v>
      </c>
      <c r="E735" t="s">
        <v>22</v>
      </c>
      <c r="F735" t="s">
        <v>15</v>
      </c>
      <c r="G735" t="s">
        <v>36</v>
      </c>
      <c r="H735">
        <v>2</v>
      </c>
      <c r="I735">
        <v>8709.73</v>
      </c>
      <c r="J735">
        <v>17419.46</v>
      </c>
      <c r="K735">
        <v>4610.09</v>
      </c>
    </row>
    <row r="736" spans="1:11" x14ac:dyDescent="0.3">
      <c r="A736" t="s">
        <v>773</v>
      </c>
      <c r="B736" s="1">
        <v>46003</v>
      </c>
      <c r="C736" t="s">
        <v>18</v>
      </c>
      <c r="D736" t="s">
        <v>13</v>
      </c>
      <c r="E736" t="s">
        <v>22</v>
      </c>
      <c r="F736" t="s">
        <v>23</v>
      </c>
      <c r="G736" t="s">
        <v>16</v>
      </c>
      <c r="H736">
        <v>1</v>
      </c>
      <c r="I736">
        <v>38251.919999999998</v>
      </c>
      <c r="J736">
        <v>38251.919999999998</v>
      </c>
      <c r="K736">
        <v>10294.31</v>
      </c>
    </row>
    <row r="737" spans="1:11" x14ac:dyDescent="0.3">
      <c r="A737" t="s">
        <v>774</v>
      </c>
      <c r="B737" s="1">
        <v>45840</v>
      </c>
      <c r="C737" t="s">
        <v>32</v>
      </c>
      <c r="D737" t="s">
        <v>21</v>
      </c>
      <c r="E737" t="s">
        <v>33</v>
      </c>
      <c r="F737" t="s">
        <v>15</v>
      </c>
      <c r="G737" t="s">
        <v>36</v>
      </c>
      <c r="H737">
        <v>1</v>
      </c>
      <c r="I737">
        <v>8456.66</v>
      </c>
      <c r="J737">
        <v>8456.66</v>
      </c>
      <c r="K737">
        <v>1546.01</v>
      </c>
    </row>
    <row r="738" spans="1:11" x14ac:dyDescent="0.3">
      <c r="A738" t="s">
        <v>775</v>
      </c>
      <c r="B738" s="1">
        <v>45948</v>
      </c>
      <c r="C738" t="s">
        <v>26</v>
      </c>
      <c r="D738" t="s">
        <v>13</v>
      </c>
      <c r="E738" t="s">
        <v>14</v>
      </c>
      <c r="F738" t="s">
        <v>23</v>
      </c>
      <c r="G738" t="s">
        <v>24</v>
      </c>
      <c r="H738">
        <v>1</v>
      </c>
      <c r="I738">
        <v>1908.85</v>
      </c>
      <c r="J738">
        <v>1908.85</v>
      </c>
      <c r="K738">
        <v>378.65</v>
      </c>
    </row>
    <row r="739" spans="1:11" x14ac:dyDescent="0.3">
      <c r="A739" t="s">
        <v>776</v>
      </c>
      <c r="B739" s="1">
        <v>46008</v>
      </c>
      <c r="C739" t="s">
        <v>35</v>
      </c>
      <c r="D739" t="s">
        <v>13</v>
      </c>
      <c r="E739" t="s">
        <v>22</v>
      </c>
      <c r="F739" t="s">
        <v>15</v>
      </c>
      <c r="G739" t="s">
        <v>16</v>
      </c>
      <c r="H739">
        <v>3</v>
      </c>
      <c r="I739">
        <v>893.77</v>
      </c>
      <c r="J739">
        <v>2681.31</v>
      </c>
      <c r="K739">
        <v>857.37</v>
      </c>
    </row>
    <row r="740" spans="1:11" x14ac:dyDescent="0.3">
      <c r="A740" t="s">
        <v>777</v>
      </c>
      <c r="B740" s="1">
        <v>45790</v>
      </c>
      <c r="C740" t="s">
        <v>117</v>
      </c>
      <c r="D740" t="s">
        <v>63</v>
      </c>
      <c r="E740" t="s">
        <v>43</v>
      </c>
      <c r="F740" t="s">
        <v>23</v>
      </c>
      <c r="G740" t="s">
        <v>36</v>
      </c>
      <c r="H740">
        <v>1</v>
      </c>
      <c r="I740">
        <v>83.19</v>
      </c>
      <c r="J740">
        <v>83.19</v>
      </c>
      <c r="K740">
        <v>17.22</v>
      </c>
    </row>
    <row r="741" spans="1:11" x14ac:dyDescent="0.3">
      <c r="A741" t="s">
        <v>778</v>
      </c>
      <c r="B741" s="1">
        <v>45673</v>
      </c>
      <c r="C741" t="s">
        <v>12</v>
      </c>
      <c r="D741" t="s">
        <v>13</v>
      </c>
      <c r="E741" t="s">
        <v>22</v>
      </c>
      <c r="F741" t="s">
        <v>23</v>
      </c>
      <c r="G741" t="s">
        <v>24</v>
      </c>
      <c r="H741">
        <v>2</v>
      </c>
      <c r="I741">
        <v>17465.189999999999</v>
      </c>
      <c r="J741">
        <v>34930.379999999997</v>
      </c>
      <c r="K741">
        <v>9084.59</v>
      </c>
    </row>
    <row r="742" spans="1:11" x14ac:dyDescent="0.3">
      <c r="A742" t="s">
        <v>779</v>
      </c>
      <c r="B742" s="1">
        <v>45967</v>
      </c>
      <c r="C742" t="s">
        <v>29</v>
      </c>
      <c r="D742" t="s">
        <v>13</v>
      </c>
      <c r="E742" t="s">
        <v>14</v>
      </c>
      <c r="F742" t="s">
        <v>23</v>
      </c>
      <c r="G742" t="s">
        <v>16</v>
      </c>
      <c r="H742">
        <v>1</v>
      </c>
      <c r="I742">
        <v>11047.04</v>
      </c>
      <c r="J742">
        <v>11047.04</v>
      </c>
      <c r="K742">
        <v>1849.67</v>
      </c>
    </row>
    <row r="743" spans="1:11" x14ac:dyDescent="0.3">
      <c r="A743" t="s">
        <v>780</v>
      </c>
      <c r="B743" s="1">
        <v>45990</v>
      </c>
      <c r="C743" t="s">
        <v>12</v>
      </c>
      <c r="D743" t="s">
        <v>13</v>
      </c>
      <c r="E743" t="s">
        <v>27</v>
      </c>
      <c r="F743" t="s">
        <v>15</v>
      </c>
      <c r="G743" t="s">
        <v>16</v>
      </c>
      <c r="H743">
        <v>3</v>
      </c>
      <c r="I743">
        <v>18117.88</v>
      </c>
      <c r="J743">
        <v>54353.64</v>
      </c>
      <c r="K743">
        <v>14990.07</v>
      </c>
    </row>
    <row r="744" spans="1:11" x14ac:dyDescent="0.3">
      <c r="A744" t="s">
        <v>781</v>
      </c>
      <c r="B744" s="1">
        <v>45782</v>
      </c>
      <c r="C744" t="s">
        <v>50</v>
      </c>
      <c r="D744" t="s">
        <v>39</v>
      </c>
      <c r="E744" t="s">
        <v>22</v>
      </c>
      <c r="F744" t="s">
        <v>23</v>
      </c>
      <c r="G744" t="s">
        <v>36</v>
      </c>
      <c r="H744">
        <v>1</v>
      </c>
      <c r="I744">
        <v>348.77</v>
      </c>
      <c r="J744">
        <v>348.77</v>
      </c>
      <c r="K744">
        <v>126.54</v>
      </c>
    </row>
    <row r="745" spans="1:11" x14ac:dyDescent="0.3">
      <c r="A745" t="s">
        <v>782</v>
      </c>
      <c r="B745" s="1">
        <v>45948</v>
      </c>
      <c r="C745" t="s">
        <v>117</v>
      </c>
      <c r="D745" t="s">
        <v>63</v>
      </c>
      <c r="E745" t="s">
        <v>14</v>
      </c>
      <c r="F745" t="s">
        <v>23</v>
      </c>
      <c r="G745" t="s">
        <v>30</v>
      </c>
      <c r="H745">
        <v>2</v>
      </c>
      <c r="I745">
        <v>75.78</v>
      </c>
      <c r="J745">
        <v>151.56</v>
      </c>
      <c r="K745">
        <v>31.48</v>
      </c>
    </row>
    <row r="746" spans="1:11" x14ac:dyDescent="0.3">
      <c r="A746" t="s">
        <v>783</v>
      </c>
      <c r="B746" s="1">
        <v>45961</v>
      </c>
      <c r="C746" t="s">
        <v>29</v>
      </c>
      <c r="D746" t="s">
        <v>13</v>
      </c>
      <c r="E746" t="s">
        <v>22</v>
      </c>
      <c r="F746" t="s">
        <v>23</v>
      </c>
      <c r="G746" t="s">
        <v>36</v>
      </c>
      <c r="H746">
        <v>2</v>
      </c>
      <c r="I746">
        <v>12132.21</v>
      </c>
      <c r="J746">
        <v>24264.42</v>
      </c>
      <c r="K746">
        <v>4034.54</v>
      </c>
    </row>
    <row r="747" spans="1:11" x14ac:dyDescent="0.3">
      <c r="A747" t="s">
        <v>784</v>
      </c>
      <c r="B747" s="1">
        <v>45693</v>
      </c>
      <c r="C747" t="s">
        <v>29</v>
      </c>
      <c r="D747" t="s">
        <v>13</v>
      </c>
      <c r="E747" t="s">
        <v>27</v>
      </c>
      <c r="F747" t="s">
        <v>23</v>
      </c>
      <c r="G747" t="s">
        <v>36</v>
      </c>
      <c r="H747">
        <v>1</v>
      </c>
      <c r="I747">
        <v>12753.76</v>
      </c>
      <c r="J747">
        <v>12753.76</v>
      </c>
      <c r="K747">
        <v>2288.67</v>
      </c>
    </row>
    <row r="748" spans="1:11" x14ac:dyDescent="0.3">
      <c r="A748" t="s">
        <v>785</v>
      </c>
      <c r="B748" s="1">
        <v>45988</v>
      </c>
      <c r="C748" t="s">
        <v>35</v>
      </c>
      <c r="D748" t="s">
        <v>13</v>
      </c>
      <c r="E748" t="s">
        <v>33</v>
      </c>
      <c r="F748" t="s">
        <v>15</v>
      </c>
      <c r="G748" t="s">
        <v>51</v>
      </c>
      <c r="H748">
        <v>1</v>
      </c>
      <c r="I748">
        <v>849.17</v>
      </c>
      <c r="J748">
        <v>849.17</v>
      </c>
      <c r="K748">
        <v>292.01</v>
      </c>
    </row>
    <row r="749" spans="1:11" x14ac:dyDescent="0.3">
      <c r="A749" t="s">
        <v>786</v>
      </c>
      <c r="B749" s="1">
        <v>45996</v>
      </c>
      <c r="C749" t="s">
        <v>26</v>
      </c>
      <c r="D749" t="s">
        <v>13</v>
      </c>
      <c r="E749" t="s">
        <v>27</v>
      </c>
      <c r="F749" t="s">
        <v>15</v>
      </c>
      <c r="G749" t="s">
        <v>51</v>
      </c>
      <c r="H749">
        <v>2</v>
      </c>
      <c r="I749">
        <v>1724.94</v>
      </c>
      <c r="J749">
        <v>3449.88</v>
      </c>
      <c r="K749">
        <v>758.81</v>
      </c>
    </row>
    <row r="750" spans="1:11" x14ac:dyDescent="0.3">
      <c r="A750" t="s">
        <v>787</v>
      </c>
      <c r="B750" s="1">
        <v>46006</v>
      </c>
      <c r="C750" t="s">
        <v>117</v>
      </c>
      <c r="D750" t="s">
        <v>63</v>
      </c>
      <c r="E750" t="s">
        <v>27</v>
      </c>
      <c r="F750" t="s">
        <v>23</v>
      </c>
      <c r="G750" t="s">
        <v>30</v>
      </c>
      <c r="H750">
        <v>1</v>
      </c>
      <c r="I750">
        <v>84.71</v>
      </c>
      <c r="J750">
        <v>84.71</v>
      </c>
      <c r="K750">
        <v>17.22</v>
      </c>
    </row>
    <row r="751" spans="1:11" x14ac:dyDescent="0.3">
      <c r="A751" t="s">
        <v>788</v>
      </c>
      <c r="B751" s="1">
        <v>45956</v>
      </c>
      <c r="C751" t="s">
        <v>18</v>
      </c>
      <c r="D751" t="s">
        <v>13</v>
      </c>
      <c r="E751" t="s">
        <v>43</v>
      </c>
      <c r="F751" t="s">
        <v>15</v>
      </c>
      <c r="G751" t="s">
        <v>24</v>
      </c>
      <c r="H751">
        <v>2</v>
      </c>
      <c r="I751">
        <v>42087.56</v>
      </c>
      <c r="J751">
        <v>84175.12</v>
      </c>
      <c r="K751">
        <v>13435.57</v>
      </c>
    </row>
    <row r="752" spans="1:11" x14ac:dyDescent="0.3">
      <c r="A752" t="s">
        <v>789</v>
      </c>
      <c r="B752" s="1">
        <v>45939</v>
      </c>
      <c r="C752" t="s">
        <v>18</v>
      </c>
      <c r="D752" t="s">
        <v>13</v>
      </c>
      <c r="E752" t="s">
        <v>14</v>
      </c>
      <c r="F752" t="s">
        <v>23</v>
      </c>
      <c r="G752" t="s">
        <v>30</v>
      </c>
      <c r="H752">
        <v>1</v>
      </c>
      <c r="I752">
        <v>42504.25</v>
      </c>
      <c r="J752">
        <v>42504.25</v>
      </c>
      <c r="K752">
        <v>5335.94</v>
      </c>
    </row>
    <row r="753" spans="1:11" x14ac:dyDescent="0.3">
      <c r="A753" t="s">
        <v>790</v>
      </c>
      <c r="B753" s="1">
        <v>45778</v>
      </c>
      <c r="C753" t="s">
        <v>62</v>
      </c>
      <c r="D753" t="s">
        <v>63</v>
      </c>
      <c r="E753" t="s">
        <v>27</v>
      </c>
      <c r="F753" t="s">
        <v>23</v>
      </c>
      <c r="G753" t="s">
        <v>36</v>
      </c>
      <c r="H753">
        <v>3</v>
      </c>
      <c r="I753">
        <v>117.46</v>
      </c>
      <c r="J753">
        <v>352.38</v>
      </c>
      <c r="K753">
        <v>104.76</v>
      </c>
    </row>
    <row r="754" spans="1:11" x14ac:dyDescent="0.3">
      <c r="A754" t="s">
        <v>791</v>
      </c>
      <c r="B754" s="1">
        <v>45880</v>
      </c>
      <c r="C754" t="s">
        <v>50</v>
      </c>
      <c r="D754" t="s">
        <v>39</v>
      </c>
      <c r="E754" t="s">
        <v>33</v>
      </c>
      <c r="F754" t="s">
        <v>23</v>
      </c>
      <c r="G754" t="s">
        <v>24</v>
      </c>
      <c r="H754">
        <v>1</v>
      </c>
      <c r="I754">
        <v>327.14</v>
      </c>
      <c r="J754">
        <v>327.14</v>
      </c>
      <c r="K754">
        <v>112.48</v>
      </c>
    </row>
    <row r="755" spans="1:11" x14ac:dyDescent="0.3">
      <c r="A755" t="s">
        <v>792</v>
      </c>
      <c r="B755" s="1">
        <v>45871</v>
      </c>
      <c r="C755" t="s">
        <v>26</v>
      </c>
      <c r="D755" t="s">
        <v>13</v>
      </c>
      <c r="E755" t="s">
        <v>14</v>
      </c>
      <c r="F755" t="s">
        <v>15</v>
      </c>
      <c r="G755" t="s">
        <v>30</v>
      </c>
      <c r="H755">
        <v>1</v>
      </c>
      <c r="I755">
        <v>1934.18</v>
      </c>
      <c r="J755">
        <v>1934.18</v>
      </c>
      <c r="K755">
        <v>671.85</v>
      </c>
    </row>
    <row r="756" spans="1:11" x14ac:dyDescent="0.3">
      <c r="A756" t="s">
        <v>793</v>
      </c>
      <c r="B756" s="1">
        <v>45731</v>
      </c>
      <c r="C756" t="s">
        <v>57</v>
      </c>
      <c r="D756" t="s">
        <v>13</v>
      </c>
      <c r="E756" t="s">
        <v>22</v>
      </c>
      <c r="F756" t="s">
        <v>15</v>
      </c>
      <c r="G756" t="s">
        <v>51</v>
      </c>
      <c r="H756">
        <v>4</v>
      </c>
      <c r="I756">
        <v>515.79</v>
      </c>
      <c r="J756">
        <v>2063.16</v>
      </c>
      <c r="K756">
        <v>261</v>
      </c>
    </row>
    <row r="757" spans="1:11" x14ac:dyDescent="0.3">
      <c r="A757" t="s">
        <v>794</v>
      </c>
      <c r="B757" s="1">
        <v>45986</v>
      </c>
      <c r="C757" t="s">
        <v>62</v>
      </c>
      <c r="D757" t="s">
        <v>63</v>
      </c>
      <c r="E757" t="s">
        <v>27</v>
      </c>
      <c r="F757" t="s">
        <v>15</v>
      </c>
      <c r="G757" t="s">
        <v>36</v>
      </c>
      <c r="H757">
        <v>4</v>
      </c>
      <c r="I757">
        <v>129.44999999999999</v>
      </c>
      <c r="J757">
        <v>517.79999999999995</v>
      </c>
      <c r="K757">
        <v>103.14</v>
      </c>
    </row>
    <row r="758" spans="1:11" x14ac:dyDescent="0.3">
      <c r="A758" t="s">
        <v>795</v>
      </c>
      <c r="B758" s="1">
        <v>45918</v>
      </c>
      <c r="C758" t="s">
        <v>62</v>
      </c>
      <c r="D758" t="s">
        <v>63</v>
      </c>
      <c r="E758" t="s">
        <v>22</v>
      </c>
      <c r="F758" t="s">
        <v>23</v>
      </c>
      <c r="G758" t="s">
        <v>16</v>
      </c>
      <c r="H758">
        <v>2</v>
      </c>
      <c r="I758">
        <v>118.8</v>
      </c>
      <c r="J758">
        <v>237.6</v>
      </c>
      <c r="K758">
        <v>68.34</v>
      </c>
    </row>
    <row r="759" spans="1:11" x14ac:dyDescent="0.3">
      <c r="A759" t="s">
        <v>796</v>
      </c>
      <c r="B759" s="1">
        <v>45661</v>
      </c>
      <c r="C759" t="s">
        <v>29</v>
      </c>
      <c r="D759" t="s">
        <v>13</v>
      </c>
      <c r="E759" t="s">
        <v>43</v>
      </c>
      <c r="F759" t="s">
        <v>23</v>
      </c>
      <c r="G759" t="s">
        <v>16</v>
      </c>
      <c r="H759">
        <v>2</v>
      </c>
      <c r="I759">
        <v>12554.19</v>
      </c>
      <c r="J759">
        <v>25108.38</v>
      </c>
      <c r="K759">
        <v>4892.2700000000004</v>
      </c>
    </row>
    <row r="760" spans="1:11" x14ac:dyDescent="0.3">
      <c r="A760" t="s">
        <v>797</v>
      </c>
      <c r="B760" s="1">
        <v>45953</v>
      </c>
      <c r="C760" t="s">
        <v>117</v>
      </c>
      <c r="D760" t="s">
        <v>63</v>
      </c>
      <c r="E760" t="s">
        <v>43</v>
      </c>
      <c r="F760" t="s">
        <v>15</v>
      </c>
      <c r="G760" t="s">
        <v>16</v>
      </c>
      <c r="H760">
        <v>1</v>
      </c>
      <c r="I760">
        <v>72.61</v>
      </c>
      <c r="J760">
        <v>72.61</v>
      </c>
      <c r="K760">
        <v>18.47</v>
      </c>
    </row>
    <row r="761" spans="1:11" x14ac:dyDescent="0.3">
      <c r="A761" t="s">
        <v>798</v>
      </c>
      <c r="B761" s="1">
        <v>45904</v>
      </c>
      <c r="C761" t="s">
        <v>57</v>
      </c>
      <c r="D761" t="s">
        <v>13</v>
      </c>
      <c r="E761" t="s">
        <v>43</v>
      </c>
      <c r="F761" t="s">
        <v>23</v>
      </c>
      <c r="G761" t="s">
        <v>16</v>
      </c>
      <c r="H761">
        <v>1</v>
      </c>
      <c r="I761">
        <v>523.02</v>
      </c>
      <c r="J761">
        <v>523.02</v>
      </c>
      <c r="K761">
        <v>127.16</v>
      </c>
    </row>
    <row r="762" spans="1:11" x14ac:dyDescent="0.3">
      <c r="A762" t="s">
        <v>799</v>
      </c>
      <c r="B762" s="1">
        <v>45698</v>
      </c>
      <c r="C762" t="s">
        <v>50</v>
      </c>
      <c r="D762" t="s">
        <v>39</v>
      </c>
      <c r="E762" t="s">
        <v>14</v>
      </c>
      <c r="F762" t="s">
        <v>23</v>
      </c>
      <c r="G762" t="s">
        <v>16</v>
      </c>
      <c r="H762">
        <v>4</v>
      </c>
      <c r="I762">
        <v>321.19</v>
      </c>
      <c r="J762">
        <v>1284.76</v>
      </c>
      <c r="K762">
        <v>330.39</v>
      </c>
    </row>
    <row r="763" spans="1:11" x14ac:dyDescent="0.3">
      <c r="A763" t="s">
        <v>800</v>
      </c>
      <c r="B763" s="1">
        <v>45685</v>
      </c>
      <c r="C763" t="s">
        <v>117</v>
      </c>
      <c r="D763" t="s">
        <v>63</v>
      </c>
      <c r="E763" t="s">
        <v>27</v>
      </c>
      <c r="F763" t="s">
        <v>23</v>
      </c>
      <c r="G763" t="s">
        <v>36</v>
      </c>
      <c r="H763">
        <v>2</v>
      </c>
      <c r="I763">
        <v>72.17</v>
      </c>
      <c r="J763">
        <v>144.34</v>
      </c>
      <c r="K763">
        <v>37.81</v>
      </c>
    </row>
    <row r="764" spans="1:11" x14ac:dyDescent="0.3">
      <c r="A764" t="s">
        <v>801</v>
      </c>
      <c r="B764" s="1">
        <v>45838</v>
      </c>
      <c r="C764" t="s">
        <v>32</v>
      </c>
      <c r="D764" t="s">
        <v>21</v>
      </c>
      <c r="E764" t="s">
        <v>43</v>
      </c>
      <c r="F764" t="s">
        <v>23</v>
      </c>
      <c r="G764" t="s">
        <v>30</v>
      </c>
      <c r="H764">
        <v>1</v>
      </c>
      <c r="I764">
        <v>8163.59</v>
      </c>
      <c r="J764">
        <v>8163.59</v>
      </c>
      <c r="K764">
        <v>1143.3499999999999</v>
      </c>
    </row>
    <row r="765" spans="1:11" x14ac:dyDescent="0.3">
      <c r="A765" t="s">
        <v>802</v>
      </c>
      <c r="B765" s="1">
        <v>45980</v>
      </c>
      <c r="C765" t="s">
        <v>38</v>
      </c>
      <c r="D765" t="s">
        <v>39</v>
      </c>
      <c r="E765" t="s">
        <v>43</v>
      </c>
      <c r="F765" t="s">
        <v>15</v>
      </c>
      <c r="G765" t="s">
        <v>24</v>
      </c>
      <c r="H765">
        <v>2</v>
      </c>
      <c r="I765">
        <v>1217.49</v>
      </c>
      <c r="J765">
        <v>2434.98</v>
      </c>
      <c r="K765">
        <v>509.78</v>
      </c>
    </row>
    <row r="766" spans="1:11" x14ac:dyDescent="0.3">
      <c r="A766" t="s">
        <v>803</v>
      </c>
      <c r="B766" s="1">
        <v>45906</v>
      </c>
      <c r="C766" t="s">
        <v>12</v>
      </c>
      <c r="D766" t="s">
        <v>13</v>
      </c>
      <c r="E766" t="s">
        <v>43</v>
      </c>
      <c r="F766" t="s">
        <v>15</v>
      </c>
      <c r="G766" t="s">
        <v>16</v>
      </c>
      <c r="H766">
        <v>1</v>
      </c>
      <c r="I766">
        <v>16476.7</v>
      </c>
      <c r="J766">
        <v>16476.7</v>
      </c>
      <c r="K766">
        <v>2903.55</v>
      </c>
    </row>
    <row r="767" spans="1:11" x14ac:dyDescent="0.3">
      <c r="A767" t="s">
        <v>804</v>
      </c>
      <c r="B767" s="1">
        <v>45801</v>
      </c>
      <c r="C767" t="s">
        <v>32</v>
      </c>
      <c r="D767" t="s">
        <v>21</v>
      </c>
      <c r="E767" t="s">
        <v>22</v>
      </c>
      <c r="F767" t="s">
        <v>15</v>
      </c>
      <c r="G767" t="s">
        <v>36</v>
      </c>
      <c r="H767">
        <v>3</v>
      </c>
      <c r="I767">
        <v>8125.57</v>
      </c>
      <c r="J767">
        <v>24376.71</v>
      </c>
      <c r="K767">
        <v>8556.16</v>
      </c>
    </row>
    <row r="768" spans="1:11" x14ac:dyDescent="0.3">
      <c r="A768" t="s">
        <v>805</v>
      </c>
      <c r="B768" s="1">
        <v>45847</v>
      </c>
      <c r="C768" t="s">
        <v>26</v>
      </c>
      <c r="D768" t="s">
        <v>13</v>
      </c>
      <c r="E768" t="s">
        <v>33</v>
      </c>
      <c r="F768" t="s">
        <v>15</v>
      </c>
      <c r="G768" t="s">
        <v>24</v>
      </c>
      <c r="H768">
        <v>1</v>
      </c>
      <c r="I768">
        <v>1872.28</v>
      </c>
      <c r="J768">
        <v>1872.28</v>
      </c>
      <c r="K768">
        <v>475.41</v>
      </c>
    </row>
    <row r="769" spans="1:11" x14ac:dyDescent="0.3">
      <c r="A769" t="s">
        <v>806</v>
      </c>
      <c r="B769" s="1">
        <v>45701</v>
      </c>
      <c r="C769" t="s">
        <v>26</v>
      </c>
      <c r="D769" t="s">
        <v>13</v>
      </c>
      <c r="E769" t="s">
        <v>27</v>
      </c>
      <c r="F769" t="s">
        <v>23</v>
      </c>
      <c r="G769" t="s">
        <v>51</v>
      </c>
      <c r="H769">
        <v>2</v>
      </c>
      <c r="I769">
        <v>1915.82</v>
      </c>
      <c r="J769">
        <v>3831.64</v>
      </c>
      <c r="K769">
        <v>621.57000000000005</v>
      </c>
    </row>
    <row r="770" spans="1:11" x14ac:dyDescent="0.3">
      <c r="A770" t="s">
        <v>807</v>
      </c>
      <c r="B770" s="1">
        <v>45996</v>
      </c>
      <c r="C770" t="s">
        <v>38</v>
      </c>
      <c r="D770" t="s">
        <v>39</v>
      </c>
      <c r="E770" t="s">
        <v>43</v>
      </c>
      <c r="F770" t="s">
        <v>15</v>
      </c>
      <c r="G770" t="s">
        <v>24</v>
      </c>
      <c r="H770">
        <v>3</v>
      </c>
      <c r="I770">
        <v>1120.1500000000001</v>
      </c>
      <c r="J770">
        <v>3360.45</v>
      </c>
      <c r="K770">
        <v>772.17</v>
      </c>
    </row>
    <row r="771" spans="1:11" x14ac:dyDescent="0.3">
      <c r="A771" t="s">
        <v>808</v>
      </c>
      <c r="B771" s="1">
        <v>45717</v>
      </c>
      <c r="C771" t="s">
        <v>18</v>
      </c>
      <c r="D771" t="s">
        <v>13</v>
      </c>
      <c r="E771" t="s">
        <v>33</v>
      </c>
      <c r="F771" t="s">
        <v>15</v>
      </c>
      <c r="G771" t="s">
        <v>36</v>
      </c>
      <c r="H771">
        <v>1</v>
      </c>
      <c r="I771">
        <v>41149.46</v>
      </c>
      <c r="J771">
        <v>41149.46</v>
      </c>
      <c r="K771">
        <v>12412.51</v>
      </c>
    </row>
    <row r="772" spans="1:11" x14ac:dyDescent="0.3">
      <c r="A772" t="s">
        <v>809</v>
      </c>
      <c r="B772" s="1">
        <v>46007</v>
      </c>
      <c r="C772" t="s">
        <v>57</v>
      </c>
      <c r="D772" t="s">
        <v>13</v>
      </c>
      <c r="E772" t="s">
        <v>27</v>
      </c>
      <c r="F772" t="s">
        <v>15</v>
      </c>
      <c r="G772" t="s">
        <v>24</v>
      </c>
      <c r="H772">
        <v>1</v>
      </c>
      <c r="I772">
        <v>476.26</v>
      </c>
      <c r="J772">
        <v>476.26</v>
      </c>
      <c r="K772">
        <v>115.3</v>
      </c>
    </row>
    <row r="773" spans="1:11" x14ac:dyDescent="0.3">
      <c r="A773" t="s">
        <v>810</v>
      </c>
      <c r="B773" s="1">
        <v>45887</v>
      </c>
      <c r="C773" t="s">
        <v>62</v>
      </c>
      <c r="D773" t="s">
        <v>63</v>
      </c>
      <c r="E773" t="s">
        <v>14</v>
      </c>
      <c r="F773" t="s">
        <v>15</v>
      </c>
      <c r="G773" t="s">
        <v>16</v>
      </c>
      <c r="H773">
        <v>2</v>
      </c>
      <c r="I773">
        <v>131.08000000000001</v>
      </c>
      <c r="J773">
        <v>262.16000000000003</v>
      </c>
      <c r="K773">
        <v>53.07</v>
      </c>
    </row>
    <row r="774" spans="1:11" x14ac:dyDescent="0.3">
      <c r="A774" t="s">
        <v>811</v>
      </c>
      <c r="B774" s="1">
        <v>45984</v>
      </c>
      <c r="C774" t="s">
        <v>117</v>
      </c>
      <c r="D774" t="s">
        <v>63</v>
      </c>
      <c r="E774" t="s">
        <v>43</v>
      </c>
      <c r="F774" t="s">
        <v>23</v>
      </c>
      <c r="G774" t="s">
        <v>24</v>
      </c>
      <c r="H774">
        <v>5</v>
      </c>
      <c r="I774">
        <v>78.91</v>
      </c>
      <c r="J774">
        <v>394.55</v>
      </c>
      <c r="K774">
        <v>55.75</v>
      </c>
    </row>
    <row r="775" spans="1:11" x14ac:dyDescent="0.3">
      <c r="A775" t="s">
        <v>812</v>
      </c>
      <c r="B775" s="1">
        <v>45794</v>
      </c>
      <c r="C775" t="s">
        <v>12</v>
      </c>
      <c r="D775" t="s">
        <v>13</v>
      </c>
      <c r="E775" t="s">
        <v>22</v>
      </c>
      <c r="F775" t="s">
        <v>15</v>
      </c>
      <c r="G775" t="s">
        <v>16</v>
      </c>
      <c r="H775">
        <v>1</v>
      </c>
      <c r="I775">
        <v>18303.04</v>
      </c>
      <c r="J775">
        <v>18303.04</v>
      </c>
      <c r="K775">
        <v>4760.84</v>
      </c>
    </row>
    <row r="776" spans="1:11" x14ac:dyDescent="0.3">
      <c r="A776" t="s">
        <v>813</v>
      </c>
      <c r="B776" s="1">
        <v>45830</v>
      </c>
      <c r="C776" t="s">
        <v>35</v>
      </c>
      <c r="D776" t="s">
        <v>13</v>
      </c>
      <c r="E776" t="s">
        <v>14</v>
      </c>
      <c r="F776" t="s">
        <v>15</v>
      </c>
      <c r="G776" t="s">
        <v>30</v>
      </c>
      <c r="H776">
        <v>2</v>
      </c>
      <c r="I776">
        <v>842.38</v>
      </c>
      <c r="J776">
        <v>1684.76</v>
      </c>
      <c r="K776">
        <v>400.33</v>
      </c>
    </row>
    <row r="777" spans="1:11" x14ac:dyDescent="0.3">
      <c r="A777" t="s">
        <v>814</v>
      </c>
      <c r="B777" s="1">
        <v>45868</v>
      </c>
      <c r="C777" t="s">
        <v>12</v>
      </c>
      <c r="D777" t="s">
        <v>13</v>
      </c>
      <c r="E777" t="s">
        <v>43</v>
      </c>
      <c r="F777" t="s">
        <v>23</v>
      </c>
      <c r="G777" t="s">
        <v>51</v>
      </c>
      <c r="H777">
        <v>2</v>
      </c>
      <c r="I777">
        <v>18667.8</v>
      </c>
      <c r="J777">
        <v>37335.599999999999</v>
      </c>
      <c r="K777">
        <v>10775.27</v>
      </c>
    </row>
    <row r="778" spans="1:11" x14ac:dyDescent="0.3">
      <c r="A778" t="s">
        <v>815</v>
      </c>
      <c r="B778" s="1">
        <v>45675</v>
      </c>
      <c r="C778" t="s">
        <v>18</v>
      </c>
      <c r="D778" t="s">
        <v>13</v>
      </c>
      <c r="E778" t="s">
        <v>22</v>
      </c>
      <c r="F778" t="s">
        <v>15</v>
      </c>
      <c r="G778" t="s">
        <v>30</v>
      </c>
      <c r="H778">
        <v>2</v>
      </c>
      <c r="I778">
        <v>38277.81</v>
      </c>
      <c r="J778">
        <v>76555.62</v>
      </c>
      <c r="K778">
        <v>17265.13</v>
      </c>
    </row>
    <row r="779" spans="1:11" x14ac:dyDescent="0.3">
      <c r="A779" t="s">
        <v>816</v>
      </c>
      <c r="B779" s="1">
        <v>45702</v>
      </c>
      <c r="C779" t="s">
        <v>29</v>
      </c>
      <c r="D779" t="s">
        <v>13</v>
      </c>
      <c r="E779" t="s">
        <v>33</v>
      </c>
      <c r="F779" t="s">
        <v>15</v>
      </c>
      <c r="G779" t="s">
        <v>30</v>
      </c>
      <c r="H779">
        <v>1</v>
      </c>
      <c r="I779">
        <v>12375.35</v>
      </c>
      <c r="J779">
        <v>12375.35</v>
      </c>
      <c r="K779">
        <v>1807.13</v>
      </c>
    </row>
    <row r="780" spans="1:11" x14ac:dyDescent="0.3">
      <c r="A780" t="s">
        <v>817</v>
      </c>
      <c r="B780" s="1">
        <v>46014</v>
      </c>
      <c r="C780" t="s">
        <v>26</v>
      </c>
      <c r="D780" t="s">
        <v>13</v>
      </c>
      <c r="E780" t="s">
        <v>27</v>
      </c>
      <c r="F780" t="s">
        <v>23</v>
      </c>
      <c r="G780" t="s">
        <v>36</v>
      </c>
      <c r="H780">
        <v>1</v>
      </c>
      <c r="I780">
        <v>1788.1</v>
      </c>
      <c r="J780">
        <v>1788.1</v>
      </c>
      <c r="K780">
        <v>244.24</v>
      </c>
    </row>
    <row r="781" spans="1:11" x14ac:dyDescent="0.3">
      <c r="A781" t="s">
        <v>818</v>
      </c>
      <c r="B781" s="1">
        <v>46012</v>
      </c>
      <c r="C781" t="s">
        <v>35</v>
      </c>
      <c r="D781" t="s">
        <v>13</v>
      </c>
      <c r="E781" t="s">
        <v>14</v>
      </c>
      <c r="F781" t="s">
        <v>23</v>
      </c>
      <c r="G781" t="s">
        <v>30</v>
      </c>
      <c r="H781">
        <v>3</v>
      </c>
      <c r="I781">
        <v>868.21</v>
      </c>
      <c r="J781">
        <v>2604.63</v>
      </c>
      <c r="K781">
        <v>880.08</v>
      </c>
    </row>
    <row r="782" spans="1:11" x14ac:dyDescent="0.3">
      <c r="A782" t="s">
        <v>819</v>
      </c>
      <c r="B782" s="1">
        <v>45853</v>
      </c>
      <c r="C782" t="s">
        <v>62</v>
      </c>
      <c r="D782" t="s">
        <v>63</v>
      </c>
      <c r="E782" t="s">
        <v>43</v>
      </c>
      <c r="F782" t="s">
        <v>15</v>
      </c>
      <c r="G782" t="s">
        <v>36</v>
      </c>
      <c r="H782">
        <v>1</v>
      </c>
      <c r="I782">
        <v>109.44</v>
      </c>
      <c r="J782">
        <v>109.44</v>
      </c>
      <c r="K782">
        <v>14.4</v>
      </c>
    </row>
    <row r="783" spans="1:11" x14ac:dyDescent="0.3">
      <c r="A783" t="s">
        <v>820</v>
      </c>
      <c r="B783" s="1">
        <v>45693</v>
      </c>
      <c r="C783" t="s">
        <v>38</v>
      </c>
      <c r="D783" t="s">
        <v>39</v>
      </c>
      <c r="E783" t="s">
        <v>27</v>
      </c>
      <c r="F783" t="s">
        <v>15</v>
      </c>
      <c r="G783" t="s">
        <v>51</v>
      </c>
      <c r="H783">
        <v>5</v>
      </c>
      <c r="I783">
        <v>1128.1600000000001</v>
      </c>
      <c r="J783">
        <v>5640.8</v>
      </c>
      <c r="K783">
        <v>1567.66</v>
      </c>
    </row>
    <row r="784" spans="1:11" x14ac:dyDescent="0.3">
      <c r="A784" t="s">
        <v>821</v>
      </c>
      <c r="B784" s="1">
        <v>45934</v>
      </c>
      <c r="C784" t="s">
        <v>62</v>
      </c>
      <c r="D784" t="s">
        <v>63</v>
      </c>
      <c r="E784" t="s">
        <v>43</v>
      </c>
      <c r="F784" t="s">
        <v>15</v>
      </c>
      <c r="G784" t="s">
        <v>30</v>
      </c>
      <c r="H784">
        <v>1</v>
      </c>
      <c r="I784">
        <v>123.44</v>
      </c>
      <c r="J784">
        <v>123.44</v>
      </c>
      <c r="K784">
        <v>17.62</v>
      </c>
    </row>
    <row r="785" spans="1:11" x14ac:dyDescent="0.3">
      <c r="A785" t="s">
        <v>822</v>
      </c>
      <c r="B785" s="1">
        <v>45695</v>
      </c>
      <c r="C785" t="s">
        <v>12</v>
      </c>
      <c r="D785" t="s">
        <v>13</v>
      </c>
      <c r="E785" t="s">
        <v>27</v>
      </c>
      <c r="F785" t="s">
        <v>15</v>
      </c>
      <c r="G785" t="s">
        <v>30</v>
      </c>
      <c r="H785">
        <v>2</v>
      </c>
      <c r="I785">
        <v>17102.150000000001</v>
      </c>
      <c r="J785">
        <v>34204.300000000003</v>
      </c>
      <c r="K785">
        <v>9032.35</v>
      </c>
    </row>
    <row r="786" spans="1:11" x14ac:dyDescent="0.3">
      <c r="A786" t="s">
        <v>823</v>
      </c>
      <c r="B786" s="1">
        <v>45677</v>
      </c>
      <c r="C786" t="s">
        <v>35</v>
      </c>
      <c r="D786" t="s">
        <v>13</v>
      </c>
      <c r="E786" t="s">
        <v>27</v>
      </c>
      <c r="F786" t="s">
        <v>15</v>
      </c>
      <c r="G786" t="s">
        <v>16</v>
      </c>
      <c r="H786">
        <v>1</v>
      </c>
      <c r="I786">
        <v>837.29</v>
      </c>
      <c r="J786">
        <v>837.29</v>
      </c>
      <c r="K786">
        <v>246.37</v>
      </c>
    </row>
    <row r="787" spans="1:11" x14ac:dyDescent="0.3">
      <c r="A787" t="s">
        <v>824</v>
      </c>
      <c r="B787" s="1">
        <v>46020</v>
      </c>
      <c r="C787" t="s">
        <v>38</v>
      </c>
      <c r="D787" t="s">
        <v>39</v>
      </c>
      <c r="E787" t="s">
        <v>14</v>
      </c>
      <c r="F787" t="s">
        <v>15</v>
      </c>
      <c r="G787" t="s">
        <v>30</v>
      </c>
      <c r="H787">
        <v>2</v>
      </c>
      <c r="I787">
        <v>1176.94</v>
      </c>
      <c r="J787">
        <v>2353.88</v>
      </c>
      <c r="K787">
        <v>449.07</v>
      </c>
    </row>
    <row r="788" spans="1:11" x14ac:dyDescent="0.3">
      <c r="A788" t="s">
        <v>825</v>
      </c>
      <c r="B788" s="1">
        <v>45854</v>
      </c>
      <c r="C788" t="s">
        <v>57</v>
      </c>
      <c r="D788" t="s">
        <v>13</v>
      </c>
      <c r="E788" t="s">
        <v>43</v>
      </c>
      <c r="F788" t="s">
        <v>23</v>
      </c>
      <c r="G788" t="s">
        <v>24</v>
      </c>
      <c r="H788">
        <v>3</v>
      </c>
      <c r="I788">
        <v>498.21</v>
      </c>
      <c r="J788">
        <v>1494.63</v>
      </c>
      <c r="K788">
        <v>347.53</v>
      </c>
    </row>
    <row r="789" spans="1:11" x14ac:dyDescent="0.3">
      <c r="A789" t="s">
        <v>826</v>
      </c>
      <c r="B789" s="1">
        <v>45863</v>
      </c>
      <c r="C789" t="s">
        <v>18</v>
      </c>
      <c r="D789" t="s">
        <v>13</v>
      </c>
      <c r="E789" t="s">
        <v>33</v>
      </c>
      <c r="F789" t="s">
        <v>23</v>
      </c>
      <c r="G789" t="s">
        <v>30</v>
      </c>
      <c r="H789">
        <v>2</v>
      </c>
      <c r="I789">
        <v>45854.12</v>
      </c>
      <c r="J789">
        <v>91708.24</v>
      </c>
      <c r="K789">
        <v>32687.25</v>
      </c>
    </row>
    <row r="790" spans="1:11" x14ac:dyDescent="0.3">
      <c r="A790" t="s">
        <v>827</v>
      </c>
      <c r="B790" s="1">
        <v>45893</v>
      </c>
      <c r="C790" t="s">
        <v>32</v>
      </c>
      <c r="D790" t="s">
        <v>21</v>
      </c>
      <c r="E790" t="s">
        <v>27</v>
      </c>
      <c r="F790" t="s">
        <v>15</v>
      </c>
      <c r="G790" t="s">
        <v>24</v>
      </c>
      <c r="H790">
        <v>2</v>
      </c>
      <c r="I790">
        <v>8417.91</v>
      </c>
      <c r="J790">
        <v>16835.82</v>
      </c>
      <c r="K790">
        <v>6225.45</v>
      </c>
    </row>
    <row r="791" spans="1:11" x14ac:dyDescent="0.3">
      <c r="A791" t="s">
        <v>828</v>
      </c>
      <c r="B791" s="1">
        <v>46014</v>
      </c>
      <c r="C791" t="s">
        <v>62</v>
      </c>
      <c r="D791" t="s">
        <v>63</v>
      </c>
      <c r="E791" t="s">
        <v>14</v>
      </c>
      <c r="F791" t="s">
        <v>23</v>
      </c>
      <c r="G791" t="s">
        <v>51</v>
      </c>
      <c r="H791">
        <v>4</v>
      </c>
      <c r="I791">
        <v>123.13</v>
      </c>
      <c r="J791">
        <v>492.52</v>
      </c>
      <c r="K791">
        <v>141.15</v>
      </c>
    </row>
    <row r="792" spans="1:11" x14ac:dyDescent="0.3">
      <c r="A792" t="s">
        <v>829</v>
      </c>
      <c r="B792" s="1">
        <v>45729</v>
      </c>
      <c r="C792" t="s">
        <v>18</v>
      </c>
      <c r="D792" t="s">
        <v>13</v>
      </c>
      <c r="E792" t="s">
        <v>27</v>
      </c>
      <c r="F792" t="s">
        <v>23</v>
      </c>
      <c r="G792" t="s">
        <v>30</v>
      </c>
      <c r="H792">
        <v>1</v>
      </c>
      <c r="I792">
        <v>43845.81</v>
      </c>
      <c r="J792">
        <v>43845.81</v>
      </c>
      <c r="K792">
        <v>9901.8799999999992</v>
      </c>
    </row>
    <row r="793" spans="1:11" x14ac:dyDescent="0.3">
      <c r="A793" t="s">
        <v>830</v>
      </c>
      <c r="B793" s="1">
        <v>45934</v>
      </c>
      <c r="C793" t="s">
        <v>35</v>
      </c>
      <c r="D793" t="s">
        <v>13</v>
      </c>
      <c r="E793" t="s">
        <v>27</v>
      </c>
      <c r="F793" t="s">
        <v>15</v>
      </c>
      <c r="G793" t="s">
        <v>30</v>
      </c>
      <c r="H793">
        <v>1</v>
      </c>
      <c r="I793">
        <v>906.11</v>
      </c>
      <c r="J793">
        <v>906.11</v>
      </c>
      <c r="K793">
        <v>147.78</v>
      </c>
    </row>
    <row r="794" spans="1:11" x14ac:dyDescent="0.3">
      <c r="A794" t="s">
        <v>831</v>
      </c>
      <c r="B794" s="1">
        <v>45831</v>
      </c>
      <c r="C794" t="s">
        <v>18</v>
      </c>
      <c r="D794" t="s">
        <v>13</v>
      </c>
      <c r="E794" t="s">
        <v>22</v>
      </c>
      <c r="F794" t="s">
        <v>23</v>
      </c>
      <c r="G794" t="s">
        <v>16</v>
      </c>
      <c r="H794">
        <v>1</v>
      </c>
      <c r="I794">
        <v>43856.5</v>
      </c>
      <c r="J794">
        <v>43856.5</v>
      </c>
      <c r="K794">
        <v>12041.59</v>
      </c>
    </row>
    <row r="795" spans="1:11" x14ac:dyDescent="0.3">
      <c r="A795" t="s">
        <v>832</v>
      </c>
      <c r="B795" s="1">
        <v>45734</v>
      </c>
      <c r="C795" t="s">
        <v>57</v>
      </c>
      <c r="D795" t="s">
        <v>13</v>
      </c>
      <c r="E795" t="s">
        <v>22</v>
      </c>
      <c r="F795" t="s">
        <v>23</v>
      </c>
      <c r="G795" t="s">
        <v>30</v>
      </c>
      <c r="H795">
        <v>2</v>
      </c>
      <c r="I795">
        <v>542.48</v>
      </c>
      <c r="J795">
        <v>1084.96</v>
      </c>
      <c r="K795">
        <v>401.88</v>
      </c>
    </row>
    <row r="796" spans="1:11" x14ac:dyDescent="0.3">
      <c r="A796" t="s">
        <v>833</v>
      </c>
      <c r="B796" s="1">
        <v>45899</v>
      </c>
      <c r="C796" t="s">
        <v>29</v>
      </c>
      <c r="D796" t="s">
        <v>13</v>
      </c>
      <c r="E796" t="s">
        <v>22</v>
      </c>
      <c r="F796" t="s">
        <v>15</v>
      </c>
      <c r="G796" t="s">
        <v>24</v>
      </c>
      <c r="H796">
        <v>1</v>
      </c>
      <c r="I796">
        <v>12483.11</v>
      </c>
      <c r="J796">
        <v>12483.11</v>
      </c>
      <c r="K796">
        <v>4319.91</v>
      </c>
    </row>
    <row r="797" spans="1:11" x14ac:dyDescent="0.3">
      <c r="A797" t="s">
        <v>834</v>
      </c>
      <c r="B797" s="1">
        <v>45707</v>
      </c>
      <c r="C797" t="s">
        <v>38</v>
      </c>
      <c r="D797" t="s">
        <v>39</v>
      </c>
      <c r="E797" t="s">
        <v>14</v>
      </c>
      <c r="F797" t="s">
        <v>15</v>
      </c>
      <c r="G797" t="s">
        <v>36</v>
      </c>
      <c r="H797">
        <v>2</v>
      </c>
      <c r="I797">
        <v>1280.48</v>
      </c>
      <c r="J797">
        <v>2560.96</v>
      </c>
      <c r="K797">
        <v>930.58</v>
      </c>
    </row>
    <row r="798" spans="1:11" x14ac:dyDescent="0.3">
      <c r="A798" t="s">
        <v>835</v>
      </c>
      <c r="B798" s="1">
        <v>45962</v>
      </c>
      <c r="C798" t="s">
        <v>29</v>
      </c>
      <c r="D798" t="s">
        <v>13</v>
      </c>
      <c r="E798" t="s">
        <v>27</v>
      </c>
      <c r="F798" t="s">
        <v>23</v>
      </c>
      <c r="G798" t="s">
        <v>30</v>
      </c>
      <c r="H798">
        <v>1</v>
      </c>
      <c r="I798">
        <v>12730.69</v>
      </c>
      <c r="J798">
        <v>12730.69</v>
      </c>
      <c r="K798">
        <v>3426.91</v>
      </c>
    </row>
    <row r="799" spans="1:11" x14ac:dyDescent="0.3">
      <c r="A799" t="s">
        <v>836</v>
      </c>
      <c r="B799" s="1">
        <v>46008</v>
      </c>
      <c r="C799" t="s">
        <v>29</v>
      </c>
      <c r="D799" t="s">
        <v>13</v>
      </c>
      <c r="E799" t="s">
        <v>22</v>
      </c>
      <c r="F799" t="s">
        <v>15</v>
      </c>
      <c r="G799" t="s">
        <v>16</v>
      </c>
      <c r="H799">
        <v>2</v>
      </c>
      <c r="I799">
        <v>11571.82</v>
      </c>
      <c r="J799">
        <v>23143.64</v>
      </c>
      <c r="K799">
        <v>2989.69</v>
      </c>
    </row>
    <row r="800" spans="1:11" x14ac:dyDescent="0.3">
      <c r="A800" t="s">
        <v>837</v>
      </c>
      <c r="B800" s="1">
        <v>45746</v>
      </c>
      <c r="C800" t="s">
        <v>117</v>
      </c>
      <c r="D800" t="s">
        <v>63</v>
      </c>
      <c r="E800" t="s">
        <v>22</v>
      </c>
      <c r="F800" t="s">
        <v>23</v>
      </c>
      <c r="G800" t="s">
        <v>16</v>
      </c>
      <c r="H800">
        <v>1</v>
      </c>
      <c r="I800">
        <v>76.38</v>
      </c>
      <c r="J800">
        <v>76.38</v>
      </c>
      <c r="K800">
        <v>13.98</v>
      </c>
    </row>
    <row r="801" spans="1:11" x14ac:dyDescent="0.3">
      <c r="A801" t="s">
        <v>838</v>
      </c>
      <c r="B801" s="1">
        <v>45742</v>
      </c>
      <c r="C801" t="s">
        <v>38</v>
      </c>
      <c r="D801" t="s">
        <v>39</v>
      </c>
      <c r="E801" t="s">
        <v>33</v>
      </c>
      <c r="F801" t="s">
        <v>23</v>
      </c>
      <c r="G801" t="s">
        <v>51</v>
      </c>
      <c r="H801">
        <v>1</v>
      </c>
      <c r="I801">
        <v>1219.68</v>
      </c>
      <c r="J801">
        <v>1219.68</v>
      </c>
      <c r="K801">
        <v>421.18</v>
      </c>
    </row>
    <row r="802" spans="1:11" x14ac:dyDescent="0.3">
      <c r="A802" t="s">
        <v>839</v>
      </c>
      <c r="B802" s="1">
        <v>45666</v>
      </c>
      <c r="C802" t="s">
        <v>38</v>
      </c>
      <c r="D802" t="s">
        <v>39</v>
      </c>
      <c r="E802" t="s">
        <v>33</v>
      </c>
      <c r="F802" t="s">
        <v>23</v>
      </c>
      <c r="G802" t="s">
        <v>36</v>
      </c>
      <c r="H802">
        <v>1</v>
      </c>
      <c r="I802">
        <v>1081.73</v>
      </c>
      <c r="J802">
        <v>1081.73</v>
      </c>
      <c r="K802">
        <v>150.58000000000001</v>
      </c>
    </row>
    <row r="803" spans="1:11" x14ac:dyDescent="0.3">
      <c r="A803" t="s">
        <v>840</v>
      </c>
      <c r="B803" s="1">
        <v>46013</v>
      </c>
      <c r="C803" t="s">
        <v>38</v>
      </c>
      <c r="D803" t="s">
        <v>39</v>
      </c>
      <c r="E803" t="s">
        <v>33</v>
      </c>
      <c r="F803" t="s">
        <v>23</v>
      </c>
      <c r="G803" t="s">
        <v>36</v>
      </c>
      <c r="H803">
        <v>2</v>
      </c>
      <c r="I803">
        <v>1129.48</v>
      </c>
      <c r="J803">
        <v>2258.96</v>
      </c>
      <c r="K803">
        <v>482.62</v>
      </c>
    </row>
    <row r="804" spans="1:11" x14ac:dyDescent="0.3">
      <c r="A804" t="s">
        <v>841</v>
      </c>
      <c r="B804" s="1">
        <v>45780</v>
      </c>
      <c r="C804" t="s">
        <v>26</v>
      </c>
      <c r="D804" t="s">
        <v>13</v>
      </c>
      <c r="E804" t="s">
        <v>27</v>
      </c>
      <c r="F804" t="s">
        <v>15</v>
      </c>
      <c r="G804" t="s">
        <v>24</v>
      </c>
      <c r="H804">
        <v>2</v>
      </c>
      <c r="I804">
        <v>1633.54</v>
      </c>
      <c r="J804">
        <v>3267.08</v>
      </c>
      <c r="K804">
        <v>1088.5899999999999</v>
      </c>
    </row>
    <row r="805" spans="1:11" x14ac:dyDescent="0.3">
      <c r="A805" t="s">
        <v>842</v>
      </c>
      <c r="B805" s="1">
        <v>45836</v>
      </c>
      <c r="C805" t="s">
        <v>62</v>
      </c>
      <c r="D805" t="s">
        <v>63</v>
      </c>
      <c r="E805" t="s">
        <v>33</v>
      </c>
      <c r="F805" t="s">
        <v>15</v>
      </c>
      <c r="G805" t="s">
        <v>16</v>
      </c>
      <c r="H805">
        <v>1</v>
      </c>
      <c r="I805">
        <v>113.66</v>
      </c>
      <c r="J805">
        <v>113.66</v>
      </c>
      <c r="K805">
        <v>39.72</v>
      </c>
    </row>
    <row r="806" spans="1:11" x14ac:dyDescent="0.3">
      <c r="A806" t="s">
        <v>843</v>
      </c>
      <c r="B806" s="1">
        <v>45843</v>
      </c>
      <c r="C806" t="s">
        <v>50</v>
      </c>
      <c r="D806" t="s">
        <v>39</v>
      </c>
      <c r="E806" t="s">
        <v>22</v>
      </c>
      <c r="F806" t="s">
        <v>23</v>
      </c>
      <c r="G806" t="s">
        <v>30</v>
      </c>
      <c r="H806">
        <v>2</v>
      </c>
      <c r="I806">
        <v>347.5</v>
      </c>
      <c r="J806">
        <v>695</v>
      </c>
      <c r="K806">
        <v>150.9</v>
      </c>
    </row>
    <row r="807" spans="1:11" x14ac:dyDescent="0.3">
      <c r="A807" t="s">
        <v>844</v>
      </c>
      <c r="B807" s="1">
        <v>45757</v>
      </c>
      <c r="C807" t="s">
        <v>12</v>
      </c>
      <c r="D807" t="s">
        <v>13</v>
      </c>
      <c r="E807" t="s">
        <v>27</v>
      </c>
      <c r="F807" t="s">
        <v>23</v>
      </c>
      <c r="G807" t="s">
        <v>51</v>
      </c>
      <c r="H807">
        <v>3</v>
      </c>
      <c r="I807">
        <v>18666.88</v>
      </c>
      <c r="J807">
        <v>56000.639999999999</v>
      </c>
      <c r="K807">
        <v>7177.65</v>
      </c>
    </row>
    <row r="808" spans="1:11" x14ac:dyDescent="0.3">
      <c r="A808" t="s">
        <v>845</v>
      </c>
      <c r="B808" s="1">
        <v>45739</v>
      </c>
      <c r="C808" t="s">
        <v>35</v>
      </c>
      <c r="D808" t="s">
        <v>13</v>
      </c>
      <c r="E808" t="s">
        <v>22</v>
      </c>
      <c r="F808" t="s">
        <v>23</v>
      </c>
      <c r="G808" t="s">
        <v>24</v>
      </c>
      <c r="H808">
        <v>4</v>
      </c>
      <c r="I808">
        <v>819.72</v>
      </c>
      <c r="J808">
        <v>3278.88</v>
      </c>
      <c r="K808">
        <v>935.5</v>
      </c>
    </row>
    <row r="809" spans="1:11" x14ac:dyDescent="0.3">
      <c r="A809" t="s">
        <v>846</v>
      </c>
      <c r="B809" s="1">
        <v>45829</v>
      </c>
      <c r="C809" t="s">
        <v>29</v>
      </c>
      <c r="D809" t="s">
        <v>13</v>
      </c>
      <c r="E809" t="s">
        <v>14</v>
      </c>
      <c r="F809" t="s">
        <v>15</v>
      </c>
      <c r="G809" t="s">
        <v>51</v>
      </c>
      <c r="H809">
        <v>3</v>
      </c>
      <c r="I809">
        <v>12620.18</v>
      </c>
      <c r="J809">
        <v>37860.54</v>
      </c>
      <c r="K809">
        <v>13960.6</v>
      </c>
    </row>
    <row r="810" spans="1:11" x14ac:dyDescent="0.3">
      <c r="A810" t="s">
        <v>847</v>
      </c>
      <c r="B810" s="1">
        <v>45672</v>
      </c>
      <c r="C810" t="s">
        <v>38</v>
      </c>
      <c r="D810" t="s">
        <v>39</v>
      </c>
      <c r="E810" t="s">
        <v>27</v>
      </c>
      <c r="F810" t="s">
        <v>23</v>
      </c>
      <c r="G810" t="s">
        <v>36</v>
      </c>
      <c r="H810">
        <v>2</v>
      </c>
      <c r="I810">
        <v>1097.01</v>
      </c>
      <c r="J810">
        <v>2194.02</v>
      </c>
      <c r="K810">
        <v>699.5</v>
      </c>
    </row>
    <row r="811" spans="1:11" x14ac:dyDescent="0.3">
      <c r="A811" t="s">
        <v>848</v>
      </c>
      <c r="B811" s="1">
        <v>45759</v>
      </c>
      <c r="C811" t="s">
        <v>57</v>
      </c>
      <c r="D811" t="s">
        <v>13</v>
      </c>
      <c r="E811" t="s">
        <v>43</v>
      </c>
      <c r="F811" t="s">
        <v>15</v>
      </c>
      <c r="G811" t="s">
        <v>30</v>
      </c>
      <c r="H811">
        <v>2</v>
      </c>
      <c r="I811">
        <v>482.57</v>
      </c>
      <c r="J811">
        <v>965.14</v>
      </c>
      <c r="K811">
        <v>171.28</v>
      </c>
    </row>
    <row r="812" spans="1:11" x14ac:dyDescent="0.3">
      <c r="A812" t="s">
        <v>849</v>
      </c>
      <c r="B812" s="1">
        <v>45779</v>
      </c>
      <c r="C812" t="s">
        <v>57</v>
      </c>
      <c r="D812" t="s">
        <v>13</v>
      </c>
      <c r="E812" t="s">
        <v>14</v>
      </c>
      <c r="F812" t="s">
        <v>23</v>
      </c>
      <c r="G812" t="s">
        <v>16</v>
      </c>
      <c r="H812">
        <v>1</v>
      </c>
      <c r="I812">
        <v>470</v>
      </c>
      <c r="J812">
        <v>470</v>
      </c>
      <c r="K812">
        <v>69.680000000000007</v>
      </c>
    </row>
    <row r="813" spans="1:11" x14ac:dyDescent="0.3">
      <c r="A813" t="s">
        <v>850</v>
      </c>
      <c r="B813" s="1">
        <v>45906</v>
      </c>
      <c r="C813" t="s">
        <v>18</v>
      </c>
      <c r="D813" t="s">
        <v>13</v>
      </c>
      <c r="E813" t="s">
        <v>27</v>
      </c>
      <c r="F813" t="s">
        <v>15</v>
      </c>
      <c r="G813" t="s">
        <v>36</v>
      </c>
      <c r="H813">
        <v>4</v>
      </c>
      <c r="I813">
        <v>39017.51</v>
      </c>
      <c r="J813">
        <v>156070.04</v>
      </c>
      <c r="K813">
        <v>21654.62</v>
      </c>
    </row>
    <row r="814" spans="1:11" x14ac:dyDescent="0.3">
      <c r="A814" t="s">
        <v>851</v>
      </c>
      <c r="B814" s="1">
        <v>45849</v>
      </c>
      <c r="C814" t="s">
        <v>26</v>
      </c>
      <c r="D814" t="s">
        <v>13</v>
      </c>
      <c r="E814" t="s">
        <v>43</v>
      </c>
      <c r="F814" t="s">
        <v>15</v>
      </c>
      <c r="G814" t="s">
        <v>24</v>
      </c>
      <c r="H814">
        <v>2</v>
      </c>
      <c r="I814">
        <v>1689.9</v>
      </c>
      <c r="J814">
        <v>3379.8</v>
      </c>
      <c r="K814">
        <v>969.21</v>
      </c>
    </row>
    <row r="815" spans="1:11" x14ac:dyDescent="0.3">
      <c r="A815" t="s">
        <v>852</v>
      </c>
      <c r="B815" s="1">
        <v>45723</v>
      </c>
      <c r="C815" t="s">
        <v>18</v>
      </c>
      <c r="D815" t="s">
        <v>13</v>
      </c>
      <c r="E815" t="s">
        <v>27</v>
      </c>
      <c r="F815" t="s">
        <v>23</v>
      </c>
      <c r="G815" t="s">
        <v>36</v>
      </c>
      <c r="H815">
        <v>2</v>
      </c>
      <c r="I815">
        <v>38301.07</v>
      </c>
      <c r="J815">
        <v>76602.14</v>
      </c>
      <c r="K815">
        <v>26390.17</v>
      </c>
    </row>
    <row r="816" spans="1:11" x14ac:dyDescent="0.3">
      <c r="A816" t="s">
        <v>853</v>
      </c>
      <c r="B816" s="1">
        <v>45745</v>
      </c>
      <c r="C816" t="s">
        <v>117</v>
      </c>
      <c r="D816" t="s">
        <v>63</v>
      </c>
      <c r="E816" t="s">
        <v>33</v>
      </c>
      <c r="F816" t="s">
        <v>15</v>
      </c>
      <c r="G816" t="s">
        <v>16</v>
      </c>
      <c r="H816">
        <v>1</v>
      </c>
      <c r="I816">
        <v>76.72</v>
      </c>
      <c r="J816">
        <v>76.72</v>
      </c>
      <c r="K816">
        <v>26.03</v>
      </c>
    </row>
    <row r="817" spans="1:11" x14ac:dyDescent="0.3">
      <c r="A817" t="s">
        <v>854</v>
      </c>
      <c r="B817" s="1">
        <v>45941</v>
      </c>
      <c r="C817" t="s">
        <v>20</v>
      </c>
      <c r="D817" t="s">
        <v>21</v>
      </c>
      <c r="E817" t="s">
        <v>22</v>
      </c>
      <c r="F817" t="s">
        <v>23</v>
      </c>
      <c r="G817" t="s">
        <v>36</v>
      </c>
      <c r="H817">
        <v>1</v>
      </c>
      <c r="I817">
        <v>6964.07</v>
      </c>
      <c r="J817">
        <v>6964.07</v>
      </c>
      <c r="K817">
        <v>1760.55</v>
      </c>
    </row>
    <row r="818" spans="1:11" x14ac:dyDescent="0.3">
      <c r="A818" t="s">
        <v>855</v>
      </c>
      <c r="B818" s="1">
        <v>45800</v>
      </c>
      <c r="C818" t="s">
        <v>18</v>
      </c>
      <c r="D818" t="s">
        <v>13</v>
      </c>
      <c r="E818" t="s">
        <v>43</v>
      </c>
      <c r="F818" t="s">
        <v>23</v>
      </c>
      <c r="G818" t="s">
        <v>16</v>
      </c>
      <c r="H818">
        <v>3</v>
      </c>
      <c r="I818">
        <v>43983.9</v>
      </c>
      <c r="J818">
        <v>131951.70000000001</v>
      </c>
      <c r="K818">
        <v>41679.57</v>
      </c>
    </row>
    <row r="819" spans="1:11" x14ac:dyDescent="0.3">
      <c r="A819" t="s">
        <v>856</v>
      </c>
      <c r="B819" s="1">
        <v>45771</v>
      </c>
      <c r="C819" t="s">
        <v>29</v>
      </c>
      <c r="D819" t="s">
        <v>13</v>
      </c>
      <c r="E819" t="s">
        <v>27</v>
      </c>
      <c r="F819" t="s">
        <v>15</v>
      </c>
      <c r="G819" t="s">
        <v>30</v>
      </c>
      <c r="H819">
        <v>4</v>
      </c>
      <c r="I819">
        <v>12993.01</v>
      </c>
      <c r="J819">
        <v>51972.04</v>
      </c>
      <c r="K819">
        <v>7611.54</v>
      </c>
    </row>
    <row r="820" spans="1:11" x14ac:dyDescent="0.3">
      <c r="A820" t="s">
        <v>857</v>
      </c>
      <c r="B820" s="1">
        <v>45898</v>
      </c>
      <c r="C820" t="s">
        <v>57</v>
      </c>
      <c r="D820" t="s">
        <v>13</v>
      </c>
      <c r="E820" t="s">
        <v>27</v>
      </c>
      <c r="F820" t="s">
        <v>15</v>
      </c>
      <c r="G820" t="s">
        <v>36</v>
      </c>
      <c r="H820">
        <v>3</v>
      </c>
      <c r="I820">
        <v>453.36</v>
      </c>
      <c r="J820">
        <v>1360.08</v>
      </c>
      <c r="K820">
        <v>329.01</v>
      </c>
    </row>
    <row r="821" spans="1:11" x14ac:dyDescent="0.3">
      <c r="A821" t="s">
        <v>858</v>
      </c>
      <c r="B821" s="1">
        <v>45911</v>
      </c>
      <c r="C821" t="s">
        <v>20</v>
      </c>
      <c r="D821" t="s">
        <v>21</v>
      </c>
      <c r="E821" t="s">
        <v>27</v>
      </c>
      <c r="F821" t="s">
        <v>15</v>
      </c>
      <c r="G821" t="s">
        <v>51</v>
      </c>
      <c r="H821">
        <v>1</v>
      </c>
      <c r="I821">
        <v>6829</v>
      </c>
      <c r="J821">
        <v>6829</v>
      </c>
      <c r="K821">
        <v>1364.29</v>
      </c>
    </row>
    <row r="822" spans="1:11" x14ac:dyDescent="0.3">
      <c r="A822" t="s">
        <v>859</v>
      </c>
      <c r="B822" s="1">
        <v>45841</v>
      </c>
      <c r="C822" t="s">
        <v>32</v>
      </c>
      <c r="D822" t="s">
        <v>21</v>
      </c>
      <c r="E822" t="s">
        <v>43</v>
      </c>
      <c r="F822" t="s">
        <v>15</v>
      </c>
      <c r="G822" t="s">
        <v>36</v>
      </c>
      <c r="H822">
        <v>1</v>
      </c>
      <c r="I822">
        <v>9898.11</v>
      </c>
      <c r="J822">
        <v>9898.11</v>
      </c>
      <c r="K822">
        <v>3720.29</v>
      </c>
    </row>
    <row r="823" spans="1:11" x14ac:dyDescent="0.3">
      <c r="A823" t="s">
        <v>860</v>
      </c>
      <c r="B823" s="1">
        <v>45950</v>
      </c>
      <c r="C823" t="s">
        <v>57</v>
      </c>
      <c r="D823" t="s">
        <v>13</v>
      </c>
      <c r="E823" t="s">
        <v>22</v>
      </c>
      <c r="F823" t="s">
        <v>23</v>
      </c>
      <c r="G823" t="s">
        <v>51</v>
      </c>
      <c r="H823">
        <v>2</v>
      </c>
      <c r="I823">
        <v>547.64</v>
      </c>
      <c r="J823">
        <v>1095.28</v>
      </c>
      <c r="K823">
        <v>284.14</v>
      </c>
    </row>
    <row r="824" spans="1:11" x14ac:dyDescent="0.3">
      <c r="A824" t="s">
        <v>861</v>
      </c>
      <c r="B824" s="1">
        <v>45847</v>
      </c>
      <c r="C824" t="s">
        <v>35</v>
      </c>
      <c r="D824" t="s">
        <v>13</v>
      </c>
      <c r="E824" t="s">
        <v>14</v>
      </c>
      <c r="F824" t="s">
        <v>23</v>
      </c>
      <c r="G824" t="s">
        <v>24</v>
      </c>
      <c r="H824">
        <v>2</v>
      </c>
      <c r="I824">
        <v>924.01</v>
      </c>
      <c r="J824">
        <v>1848.02</v>
      </c>
      <c r="K824">
        <v>288.85000000000002</v>
      </c>
    </row>
    <row r="825" spans="1:11" x14ac:dyDescent="0.3">
      <c r="A825" t="s">
        <v>862</v>
      </c>
      <c r="B825" s="1">
        <v>45929</v>
      </c>
      <c r="C825" t="s">
        <v>18</v>
      </c>
      <c r="D825" t="s">
        <v>13</v>
      </c>
      <c r="E825" t="s">
        <v>33</v>
      </c>
      <c r="F825" t="s">
        <v>15</v>
      </c>
      <c r="G825" t="s">
        <v>30</v>
      </c>
      <c r="H825">
        <v>1</v>
      </c>
      <c r="I825">
        <v>44124.26</v>
      </c>
      <c r="J825">
        <v>44124.26</v>
      </c>
      <c r="K825">
        <v>8758.92</v>
      </c>
    </row>
    <row r="826" spans="1:11" x14ac:dyDescent="0.3">
      <c r="A826" t="s">
        <v>863</v>
      </c>
      <c r="B826" s="1">
        <v>45975</v>
      </c>
      <c r="C826" t="s">
        <v>117</v>
      </c>
      <c r="D826" t="s">
        <v>63</v>
      </c>
      <c r="E826" t="s">
        <v>43</v>
      </c>
      <c r="F826" t="s">
        <v>15</v>
      </c>
      <c r="G826" t="s">
        <v>30</v>
      </c>
      <c r="H826">
        <v>3</v>
      </c>
      <c r="I826">
        <v>72.88</v>
      </c>
      <c r="J826">
        <v>218.64</v>
      </c>
      <c r="K826">
        <v>29.35</v>
      </c>
    </row>
    <row r="827" spans="1:11" x14ac:dyDescent="0.3">
      <c r="A827" t="s">
        <v>864</v>
      </c>
      <c r="B827" s="1">
        <v>45854</v>
      </c>
      <c r="C827" t="s">
        <v>117</v>
      </c>
      <c r="D827" t="s">
        <v>63</v>
      </c>
      <c r="E827" t="s">
        <v>33</v>
      </c>
      <c r="F827" t="s">
        <v>15</v>
      </c>
      <c r="G827" t="s">
        <v>16</v>
      </c>
      <c r="H827">
        <v>2</v>
      </c>
      <c r="I827">
        <v>72.650000000000006</v>
      </c>
      <c r="J827">
        <v>145.30000000000001</v>
      </c>
      <c r="K827">
        <v>41.37</v>
      </c>
    </row>
    <row r="828" spans="1:11" x14ac:dyDescent="0.3">
      <c r="A828" t="s">
        <v>865</v>
      </c>
      <c r="B828" s="1">
        <v>46021</v>
      </c>
      <c r="C828" t="s">
        <v>20</v>
      </c>
      <c r="D828" t="s">
        <v>21</v>
      </c>
      <c r="E828" t="s">
        <v>27</v>
      </c>
      <c r="F828" t="s">
        <v>15</v>
      </c>
      <c r="G828" t="s">
        <v>51</v>
      </c>
      <c r="H828">
        <v>1</v>
      </c>
      <c r="I828">
        <v>6285.41</v>
      </c>
      <c r="J828">
        <v>6285.41</v>
      </c>
      <c r="K828">
        <v>1506.58</v>
      </c>
    </row>
    <row r="829" spans="1:11" x14ac:dyDescent="0.3">
      <c r="A829" t="s">
        <v>866</v>
      </c>
      <c r="B829" s="1">
        <v>45822</v>
      </c>
      <c r="C829" t="s">
        <v>117</v>
      </c>
      <c r="D829" t="s">
        <v>63</v>
      </c>
      <c r="E829" t="s">
        <v>14</v>
      </c>
      <c r="F829" t="s">
        <v>15</v>
      </c>
      <c r="G829" t="s">
        <v>24</v>
      </c>
      <c r="H829">
        <v>4</v>
      </c>
      <c r="I829">
        <v>80.06</v>
      </c>
      <c r="J829">
        <v>320.24</v>
      </c>
      <c r="K829">
        <v>86.48</v>
      </c>
    </row>
    <row r="830" spans="1:11" x14ac:dyDescent="0.3">
      <c r="A830" t="s">
        <v>867</v>
      </c>
      <c r="B830" s="1">
        <v>45834</v>
      </c>
      <c r="C830" t="s">
        <v>38</v>
      </c>
      <c r="D830" t="s">
        <v>39</v>
      </c>
      <c r="E830" t="s">
        <v>33</v>
      </c>
      <c r="F830" t="s">
        <v>23</v>
      </c>
      <c r="G830" t="s">
        <v>36</v>
      </c>
      <c r="H830">
        <v>2</v>
      </c>
      <c r="I830">
        <v>1206.4000000000001</v>
      </c>
      <c r="J830">
        <v>2412.8000000000002</v>
      </c>
      <c r="K830">
        <v>839.88</v>
      </c>
    </row>
    <row r="831" spans="1:11" x14ac:dyDescent="0.3">
      <c r="A831" t="s">
        <v>868</v>
      </c>
      <c r="B831" s="1">
        <v>45975</v>
      </c>
      <c r="C831" t="s">
        <v>117</v>
      </c>
      <c r="D831" t="s">
        <v>63</v>
      </c>
      <c r="E831" t="s">
        <v>14</v>
      </c>
      <c r="F831" t="s">
        <v>15</v>
      </c>
      <c r="G831" t="s">
        <v>36</v>
      </c>
      <c r="H831">
        <v>3</v>
      </c>
      <c r="I831">
        <v>87.13</v>
      </c>
      <c r="J831">
        <v>261.39</v>
      </c>
      <c r="K831">
        <v>44.36</v>
      </c>
    </row>
    <row r="832" spans="1:11" x14ac:dyDescent="0.3">
      <c r="A832" t="s">
        <v>869</v>
      </c>
      <c r="B832" s="1">
        <v>45702</v>
      </c>
      <c r="C832" t="s">
        <v>12</v>
      </c>
      <c r="D832" t="s">
        <v>13</v>
      </c>
      <c r="E832" t="s">
        <v>14</v>
      </c>
      <c r="F832" t="s">
        <v>15</v>
      </c>
      <c r="G832" t="s">
        <v>51</v>
      </c>
      <c r="H832">
        <v>1</v>
      </c>
      <c r="I832">
        <v>16843.72</v>
      </c>
      <c r="J832">
        <v>16843.72</v>
      </c>
      <c r="K832">
        <v>2204.06</v>
      </c>
    </row>
    <row r="833" spans="1:11" x14ac:dyDescent="0.3">
      <c r="A833" t="s">
        <v>870</v>
      </c>
      <c r="B833" s="1">
        <v>45799</v>
      </c>
      <c r="C833" t="s">
        <v>12</v>
      </c>
      <c r="D833" t="s">
        <v>13</v>
      </c>
      <c r="E833" t="s">
        <v>33</v>
      </c>
      <c r="F833" t="s">
        <v>15</v>
      </c>
      <c r="G833" t="s">
        <v>24</v>
      </c>
      <c r="H833">
        <v>2</v>
      </c>
      <c r="I833">
        <v>17986.78</v>
      </c>
      <c r="J833">
        <v>35973.56</v>
      </c>
      <c r="K833">
        <v>5486.03</v>
      </c>
    </row>
    <row r="834" spans="1:11" x14ac:dyDescent="0.3">
      <c r="A834" t="s">
        <v>871</v>
      </c>
      <c r="B834" s="1">
        <v>45871</v>
      </c>
      <c r="C834" t="s">
        <v>35</v>
      </c>
      <c r="D834" t="s">
        <v>13</v>
      </c>
      <c r="E834" t="s">
        <v>27</v>
      </c>
      <c r="F834" t="s">
        <v>15</v>
      </c>
      <c r="G834" t="s">
        <v>24</v>
      </c>
      <c r="H834">
        <v>2</v>
      </c>
      <c r="I834">
        <v>833.76</v>
      </c>
      <c r="J834">
        <v>1667.52</v>
      </c>
      <c r="K834">
        <v>483.34</v>
      </c>
    </row>
    <row r="835" spans="1:11" x14ac:dyDescent="0.3">
      <c r="A835" t="s">
        <v>872</v>
      </c>
      <c r="B835" s="1">
        <v>45754</v>
      </c>
      <c r="C835" t="s">
        <v>12</v>
      </c>
      <c r="D835" t="s">
        <v>13</v>
      </c>
      <c r="E835" t="s">
        <v>33</v>
      </c>
      <c r="F835" t="s">
        <v>23</v>
      </c>
      <c r="G835" t="s">
        <v>36</v>
      </c>
      <c r="H835">
        <v>1</v>
      </c>
      <c r="I835">
        <v>19087.16</v>
      </c>
      <c r="J835">
        <v>19087.16</v>
      </c>
      <c r="K835">
        <v>3109.56</v>
      </c>
    </row>
    <row r="836" spans="1:11" x14ac:dyDescent="0.3">
      <c r="A836" t="s">
        <v>873</v>
      </c>
      <c r="B836" s="1">
        <v>45954</v>
      </c>
      <c r="C836" t="s">
        <v>117</v>
      </c>
      <c r="D836" t="s">
        <v>63</v>
      </c>
      <c r="E836" t="s">
        <v>33</v>
      </c>
      <c r="F836" t="s">
        <v>23</v>
      </c>
      <c r="G836" t="s">
        <v>36</v>
      </c>
      <c r="H836">
        <v>2</v>
      </c>
      <c r="I836">
        <v>84.59</v>
      </c>
      <c r="J836">
        <v>169.18</v>
      </c>
      <c r="K836">
        <v>42.9</v>
      </c>
    </row>
    <row r="837" spans="1:11" x14ac:dyDescent="0.3">
      <c r="A837" t="s">
        <v>874</v>
      </c>
      <c r="B837" s="1">
        <v>45813</v>
      </c>
      <c r="C837" t="s">
        <v>29</v>
      </c>
      <c r="D837" t="s">
        <v>13</v>
      </c>
      <c r="E837" t="s">
        <v>43</v>
      </c>
      <c r="F837" t="s">
        <v>15</v>
      </c>
      <c r="G837" t="s">
        <v>36</v>
      </c>
      <c r="H837">
        <v>1</v>
      </c>
      <c r="I837">
        <v>12694.44</v>
      </c>
      <c r="J837">
        <v>12694.44</v>
      </c>
      <c r="K837">
        <v>4257.0600000000004</v>
      </c>
    </row>
    <row r="838" spans="1:11" x14ac:dyDescent="0.3">
      <c r="A838" t="s">
        <v>875</v>
      </c>
      <c r="B838" s="1">
        <v>45848</v>
      </c>
      <c r="C838" t="s">
        <v>32</v>
      </c>
      <c r="D838" t="s">
        <v>21</v>
      </c>
      <c r="E838" t="s">
        <v>27</v>
      </c>
      <c r="F838" t="s">
        <v>15</v>
      </c>
      <c r="G838" t="s">
        <v>16</v>
      </c>
      <c r="H838">
        <v>3</v>
      </c>
      <c r="I838">
        <v>8185.17</v>
      </c>
      <c r="J838">
        <v>24555.51</v>
      </c>
      <c r="K838">
        <v>7076.62</v>
      </c>
    </row>
    <row r="839" spans="1:11" x14ac:dyDescent="0.3">
      <c r="A839" t="s">
        <v>876</v>
      </c>
      <c r="B839" s="1">
        <v>45740</v>
      </c>
      <c r="C839" t="s">
        <v>57</v>
      </c>
      <c r="D839" t="s">
        <v>13</v>
      </c>
      <c r="E839" t="s">
        <v>22</v>
      </c>
      <c r="F839" t="s">
        <v>15</v>
      </c>
      <c r="G839" t="s">
        <v>51</v>
      </c>
      <c r="H839">
        <v>2</v>
      </c>
      <c r="I839">
        <v>468.23</v>
      </c>
      <c r="J839">
        <v>936.46</v>
      </c>
      <c r="K839">
        <v>313.16000000000003</v>
      </c>
    </row>
    <row r="840" spans="1:11" x14ac:dyDescent="0.3">
      <c r="A840" t="s">
        <v>877</v>
      </c>
      <c r="B840" s="1">
        <v>45717</v>
      </c>
      <c r="C840" t="s">
        <v>18</v>
      </c>
      <c r="D840" t="s">
        <v>13</v>
      </c>
      <c r="E840" t="s">
        <v>43</v>
      </c>
      <c r="F840" t="s">
        <v>15</v>
      </c>
      <c r="G840" t="s">
        <v>51</v>
      </c>
      <c r="H840">
        <v>5</v>
      </c>
      <c r="I840">
        <v>42626.01</v>
      </c>
      <c r="J840">
        <v>213130.05</v>
      </c>
      <c r="K840">
        <v>56558.1</v>
      </c>
    </row>
    <row r="841" spans="1:11" x14ac:dyDescent="0.3">
      <c r="A841" t="s">
        <v>878</v>
      </c>
      <c r="B841" s="1">
        <v>45945</v>
      </c>
      <c r="C841" t="s">
        <v>57</v>
      </c>
      <c r="D841" t="s">
        <v>13</v>
      </c>
      <c r="E841" t="s">
        <v>43</v>
      </c>
      <c r="F841" t="s">
        <v>23</v>
      </c>
      <c r="G841" t="s">
        <v>16</v>
      </c>
      <c r="H841">
        <v>1</v>
      </c>
      <c r="I841">
        <v>481.69</v>
      </c>
      <c r="J841">
        <v>481.69</v>
      </c>
      <c r="K841">
        <v>139.97999999999999</v>
      </c>
    </row>
    <row r="842" spans="1:11" x14ac:dyDescent="0.3">
      <c r="A842" t="s">
        <v>879</v>
      </c>
      <c r="B842" s="1">
        <v>45741</v>
      </c>
      <c r="C842" t="s">
        <v>50</v>
      </c>
      <c r="D842" t="s">
        <v>39</v>
      </c>
      <c r="E842" t="s">
        <v>27</v>
      </c>
      <c r="F842" t="s">
        <v>15</v>
      </c>
      <c r="G842" t="s">
        <v>36</v>
      </c>
      <c r="H842">
        <v>1</v>
      </c>
      <c r="I842">
        <v>379.43</v>
      </c>
      <c r="J842">
        <v>379.43</v>
      </c>
      <c r="K842">
        <v>104.27</v>
      </c>
    </row>
    <row r="843" spans="1:11" x14ac:dyDescent="0.3">
      <c r="A843" t="s">
        <v>880</v>
      </c>
      <c r="B843" s="1">
        <v>45821</v>
      </c>
      <c r="C843" t="s">
        <v>26</v>
      </c>
      <c r="D843" t="s">
        <v>13</v>
      </c>
      <c r="E843" t="s">
        <v>43</v>
      </c>
      <c r="F843" t="s">
        <v>23</v>
      </c>
      <c r="G843" t="s">
        <v>36</v>
      </c>
      <c r="H843">
        <v>1</v>
      </c>
      <c r="I843">
        <v>1885.86</v>
      </c>
      <c r="J843">
        <v>1885.86</v>
      </c>
      <c r="K843">
        <v>238.27</v>
      </c>
    </row>
    <row r="844" spans="1:11" x14ac:dyDescent="0.3">
      <c r="A844" t="s">
        <v>881</v>
      </c>
      <c r="B844" s="1">
        <v>45806</v>
      </c>
      <c r="C844" t="s">
        <v>29</v>
      </c>
      <c r="D844" t="s">
        <v>13</v>
      </c>
      <c r="E844" t="s">
        <v>27</v>
      </c>
      <c r="F844" t="s">
        <v>23</v>
      </c>
      <c r="G844" t="s">
        <v>30</v>
      </c>
      <c r="H844">
        <v>2</v>
      </c>
      <c r="I844">
        <v>12718.98</v>
      </c>
      <c r="J844">
        <v>25437.96</v>
      </c>
      <c r="K844">
        <v>4847.93</v>
      </c>
    </row>
    <row r="845" spans="1:11" x14ac:dyDescent="0.3">
      <c r="A845" t="s">
        <v>882</v>
      </c>
      <c r="B845" s="1">
        <v>45903</v>
      </c>
      <c r="C845" t="s">
        <v>18</v>
      </c>
      <c r="D845" t="s">
        <v>13</v>
      </c>
      <c r="E845" t="s">
        <v>27</v>
      </c>
      <c r="F845" t="s">
        <v>15</v>
      </c>
      <c r="G845" t="s">
        <v>36</v>
      </c>
      <c r="H845">
        <v>1</v>
      </c>
      <c r="I845">
        <v>42428.06</v>
      </c>
      <c r="J845">
        <v>42428.06</v>
      </c>
      <c r="K845">
        <v>12724.12</v>
      </c>
    </row>
    <row r="846" spans="1:11" x14ac:dyDescent="0.3">
      <c r="A846" t="s">
        <v>883</v>
      </c>
      <c r="B846" s="1">
        <v>45840</v>
      </c>
      <c r="C846" t="s">
        <v>12</v>
      </c>
      <c r="D846" t="s">
        <v>13</v>
      </c>
      <c r="E846" t="s">
        <v>33</v>
      </c>
      <c r="F846" t="s">
        <v>15</v>
      </c>
      <c r="G846" t="s">
        <v>24</v>
      </c>
      <c r="H846">
        <v>1</v>
      </c>
      <c r="I846">
        <v>18389.34</v>
      </c>
      <c r="J846">
        <v>18389.34</v>
      </c>
      <c r="K846">
        <v>6054.89</v>
      </c>
    </row>
    <row r="847" spans="1:11" x14ac:dyDescent="0.3">
      <c r="A847" t="s">
        <v>884</v>
      </c>
      <c r="B847" s="1">
        <v>45758</v>
      </c>
      <c r="C847" t="s">
        <v>18</v>
      </c>
      <c r="D847" t="s">
        <v>13</v>
      </c>
      <c r="E847" t="s">
        <v>14</v>
      </c>
      <c r="F847" t="s">
        <v>23</v>
      </c>
      <c r="G847" t="s">
        <v>51</v>
      </c>
      <c r="H847">
        <v>1</v>
      </c>
      <c r="I847">
        <v>44935.39</v>
      </c>
      <c r="J847">
        <v>44935.39</v>
      </c>
      <c r="K847">
        <v>9165.18</v>
      </c>
    </row>
    <row r="848" spans="1:11" x14ac:dyDescent="0.3">
      <c r="A848" t="s">
        <v>885</v>
      </c>
      <c r="B848" s="1">
        <v>45909</v>
      </c>
      <c r="C848" t="s">
        <v>117</v>
      </c>
      <c r="D848" t="s">
        <v>63</v>
      </c>
      <c r="E848" t="s">
        <v>43</v>
      </c>
      <c r="F848" t="s">
        <v>23</v>
      </c>
      <c r="G848" t="s">
        <v>51</v>
      </c>
      <c r="H848">
        <v>2</v>
      </c>
      <c r="I848">
        <v>80.180000000000007</v>
      </c>
      <c r="J848">
        <v>160.36000000000001</v>
      </c>
      <c r="K848">
        <v>58.6</v>
      </c>
    </row>
    <row r="849" spans="1:11" x14ac:dyDescent="0.3">
      <c r="A849" t="s">
        <v>886</v>
      </c>
      <c r="B849" s="1">
        <v>45876</v>
      </c>
      <c r="C849" t="s">
        <v>117</v>
      </c>
      <c r="D849" t="s">
        <v>63</v>
      </c>
      <c r="E849" t="s">
        <v>43</v>
      </c>
      <c r="F849" t="s">
        <v>23</v>
      </c>
      <c r="G849" t="s">
        <v>16</v>
      </c>
      <c r="H849">
        <v>1</v>
      </c>
      <c r="I849">
        <v>72.2</v>
      </c>
      <c r="J849">
        <v>72.2</v>
      </c>
      <c r="K849">
        <v>20.96</v>
      </c>
    </row>
    <row r="850" spans="1:11" x14ac:dyDescent="0.3">
      <c r="A850" t="s">
        <v>887</v>
      </c>
      <c r="B850" s="1">
        <v>45702</v>
      </c>
      <c r="C850" t="s">
        <v>20</v>
      </c>
      <c r="D850" t="s">
        <v>21</v>
      </c>
      <c r="E850" t="s">
        <v>27</v>
      </c>
      <c r="F850" t="s">
        <v>23</v>
      </c>
      <c r="G850" t="s">
        <v>51</v>
      </c>
      <c r="H850">
        <v>3</v>
      </c>
      <c r="I850">
        <v>6427.49</v>
      </c>
      <c r="J850">
        <v>19282.47</v>
      </c>
      <c r="K850">
        <v>2351.0100000000002</v>
      </c>
    </row>
    <row r="851" spans="1:11" x14ac:dyDescent="0.3">
      <c r="A851" t="s">
        <v>888</v>
      </c>
      <c r="B851" s="1">
        <v>45875</v>
      </c>
      <c r="C851" t="s">
        <v>57</v>
      </c>
      <c r="D851" t="s">
        <v>13</v>
      </c>
      <c r="E851" t="s">
        <v>14</v>
      </c>
      <c r="F851" t="s">
        <v>15</v>
      </c>
      <c r="G851" t="s">
        <v>51</v>
      </c>
      <c r="H851">
        <v>4</v>
      </c>
      <c r="I851">
        <v>463.96</v>
      </c>
      <c r="J851">
        <v>1855.84</v>
      </c>
      <c r="K851">
        <v>421.89</v>
      </c>
    </row>
    <row r="852" spans="1:11" x14ac:dyDescent="0.3">
      <c r="A852" t="s">
        <v>889</v>
      </c>
      <c r="B852" s="1">
        <v>45813</v>
      </c>
      <c r="C852" t="s">
        <v>38</v>
      </c>
      <c r="D852" t="s">
        <v>39</v>
      </c>
      <c r="E852" t="s">
        <v>33</v>
      </c>
      <c r="F852" t="s">
        <v>23</v>
      </c>
      <c r="G852" t="s">
        <v>30</v>
      </c>
      <c r="H852">
        <v>5</v>
      </c>
      <c r="I852">
        <v>1206.07</v>
      </c>
      <c r="J852">
        <v>6030.35</v>
      </c>
      <c r="K852">
        <v>1765.64</v>
      </c>
    </row>
    <row r="853" spans="1:11" x14ac:dyDescent="0.3">
      <c r="A853" t="s">
        <v>890</v>
      </c>
      <c r="B853" s="1">
        <v>45661</v>
      </c>
      <c r="C853" t="s">
        <v>62</v>
      </c>
      <c r="D853" t="s">
        <v>63</v>
      </c>
      <c r="E853" t="s">
        <v>27</v>
      </c>
      <c r="F853" t="s">
        <v>15</v>
      </c>
      <c r="G853" t="s">
        <v>51</v>
      </c>
      <c r="H853">
        <v>2</v>
      </c>
      <c r="I853">
        <v>114.56</v>
      </c>
      <c r="J853">
        <v>229.12</v>
      </c>
      <c r="K853">
        <v>76.650000000000006</v>
      </c>
    </row>
    <row r="854" spans="1:11" x14ac:dyDescent="0.3">
      <c r="A854" t="s">
        <v>891</v>
      </c>
      <c r="B854" s="1">
        <v>45753</v>
      </c>
      <c r="C854" t="s">
        <v>62</v>
      </c>
      <c r="D854" t="s">
        <v>63</v>
      </c>
      <c r="E854" t="s">
        <v>43</v>
      </c>
      <c r="F854" t="s">
        <v>23</v>
      </c>
      <c r="G854" t="s">
        <v>36</v>
      </c>
      <c r="H854">
        <v>1</v>
      </c>
      <c r="I854">
        <v>119.77</v>
      </c>
      <c r="J854">
        <v>119.77</v>
      </c>
      <c r="K854">
        <v>19.89</v>
      </c>
    </row>
    <row r="855" spans="1:11" x14ac:dyDescent="0.3">
      <c r="A855" t="s">
        <v>892</v>
      </c>
      <c r="B855" s="1">
        <v>45944</v>
      </c>
      <c r="C855" t="s">
        <v>57</v>
      </c>
      <c r="D855" t="s">
        <v>13</v>
      </c>
      <c r="E855" t="s">
        <v>43</v>
      </c>
      <c r="F855" t="s">
        <v>23</v>
      </c>
      <c r="G855" t="s">
        <v>36</v>
      </c>
      <c r="H855">
        <v>2</v>
      </c>
      <c r="I855">
        <v>452.68</v>
      </c>
      <c r="J855">
        <v>905.36</v>
      </c>
      <c r="K855">
        <v>343.46</v>
      </c>
    </row>
    <row r="856" spans="1:11" x14ac:dyDescent="0.3">
      <c r="A856" t="s">
        <v>893</v>
      </c>
      <c r="B856" s="1">
        <v>45721</v>
      </c>
      <c r="C856" t="s">
        <v>35</v>
      </c>
      <c r="D856" t="s">
        <v>13</v>
      </c>
      <c r="E856" t="s">
        <v>22</v>
      </c>
      <c r="F856" t="s">
        <v>15</v>
      </c>
      <c r="G856" t="s">
        <v>30</v>
      </c>
      <c r="H856">
        <v>2</v>
      </c>
      <c r="I856">
        <v>861.78</v>
      </c>
      <c r="J856">
        <v>1723.56</v>
      </c>
      <c r="K856">
        <v>574.57000000000005</v>
      </c>
    </row>
    <row r="857" spans="1:11" x14ac:dyDescent="0.3">
      <c r="A857" t="s">
        <v>894</v>
      </c>
      <c r="B857" s="1">
        <v>45799</v>
      </c>
      <c r="C857" t="s">
        <v>38</v>
      </c>
      <c r="D857" t="s">
        <v>39</v>
      </c>
      <c r="E857" t="s">
        <v>33</v>
      </c>
      <c r="F857" t="s">
        <v>23</v>
      </c>
      <c r="G857" t="s">
        <v>16</v>
      </c>
      <c r="H857">
        <v>5</v>
      </c>
      <c r="I857">
        <v>1096.01</v>
      </c>
      <c r="J857">
        <v>5480.05</v>
      </c>
      <c r="K857">
        <v>1020.13</v>
      </c>
    </row>
    <row r="858" spans="1:11" x14ac:dyDescent="0.3">
      <c r="A858" t="s">
        <v>895</v>
      </c>
      <c r="B858" s="1">
        <v>45881</v>
      </c>
      <c r="C858" t="s">
        <v>32</v>
      </c>
      <c r="D858" t="s">
        <v>21</v>
      </c>
      <c r="E858" t="s">
        <v>14</v>
      </c>
      <c r="F858" t="s">
        <v>23</v>
      </c>
      <c r="G858" t="s">
        <v>16</v>
      </c>
      <c r="H858">
        <v>2</v>
      </c>
      <c r="I858">
        <v>8956.8700000000008</v>
      </c>
      <c r="J858">
        <v>17913.740000000002</v>
      </c>
      <c r="K858">
        <v>3573.72</v>
      </c>
    </row>
    <row r="859" spans="1:11" x14ac:dyDescent="0.3">
      <c r="A859" t="s">
        <v>896</v>
      </c>
      <c r="B859" s="1">
        <v>45952</v>
      </c>
      <c r="C859" t="s">
        <v>18</v>
      </c>
      <c r="D859" t="s">
        <v>13</v>
      </c>
      <c r="E859" t="s">
        <v>43</v>
      </c>
      <c r="F859" t="s">
        <v>23</v>
      </c>
      <c r="G859" t="s">
        <v>51</v>
      </c>
      <c r="H859">
        <v>3</v>
      </c>
      <c r="I859">
        <v>39167.919999999998</v>
      </c>
      <c r="J859">
        <v>117503.76</v>
      </c>
      <c r="K859">
        <v>42863.88</v>
      </c>
    </row>
    <row r="860" spans="1:11" x14ac:dyDescent="0.3">
      <c r="A860" t="s">
        <v>897</v>
      </c>
      <c r="B860" s="1">
        <v>45840</v>
      </c>
      <c r="C860" t="s">
        <v>26</v>
      </c>
      <c r="D860" t="s">
        <v>13</v>
      </c>
      <c r="E860" t="s">
        <v>43</v>
      </c>
      <c r="F860" t="s">
        <v>15</v>
      </c>
      <c r="G860" t="s">
        <v>24</v>
      </c>
      <c r="H860">
        <v>1</v>
      </c>
      <c r="I860">
        <v>1750.02</v>
      </c>
      <c r="J860">
        <v>1750.02</v>
      </c>
      <c r="K860">
        <v>375.51</v>
      </c>
    </row>
    <row r="861" spans="1:11" x14ac:dyDescent="0.3">
      <c r="A861" t="s">
        <v>898</v>
      </c>
      <c r="B861" s="1">
        <v>45807</v>
      </c>
      <c r="C861" t="s">
        <v>50</v>
      </c>
      <c r="D861" t="s">
        <v>39</v>
      </c>
      <c r="E861" t="s">
        <v>22</v>
      </c>
      <c r="F861" t="s">
        <v>15</v>
      </c>
      <c r="G861" t="s">
        <v>16</v>
      </c>
      <c r="H861">
        <v>2</v>
      </c>
      <c r="I861">
        <v>320.38</v>
      </c>
      <c r="J861">
        <v>640.76</v>
      </c>
      <c r="K861">
        <v>211.2</v>
      </c>
    </row>
    <row r="862" spans="1:11" x14ac:dyDescent="0.3">
      <c r="A862" t="s">
        <v>899</v>
      </c>
      <c r="B862" s="1">
        <v>45743</v>
      </c>
      <c r="C862" t="s">
        <v>50</v>
      </c>
      <c r="D862" t="s">
        <v>39</v>
      </c>
      <c r="E862" t="s">
        <v>43</v>
      </c>
      <c r="F862" t="s">
        <v>23</v>
      </c>
      <c r="G862" t="s">
        <v>24</v>
      </c>
      <c r="H862">
        <v>1</v>
      </c>
      <c r="I862">
        <v>337.13</v>
      </c>
      <c r="J862">
        <v>337.13</v>
      </c>
      <c r="K862">
        <v>54.04</v>
      </c>
    </row>
    <row r="863" spans="1:11" x14ac:dyDescent="0.3">
      <c r="A863" t="s">
        <v>900</v>
      </c>
      <c r="B863" s="1">
        <v>45707</v>
      </c>
      <c r="C863" t="s">
        <v>50</v>
      </c>
      <c r="D863" t="s">
        <v>39</v>
      </c>
      <c r="E863" t="s">
        <v>33</v>
      </c>
      <c r="F863" t="s">
        <v>23</v>
      </c>
      <c r="G863" t="s">
        <v>24</v>
      </c>
      <c r="H863">
        <v>2</v>
      </c>
      <c r="I863">
        <v>372.63</v>
      </c>
      <c r="J863">
        <v>745.26</v>
      </c>
      <c r="K863">
        <v>280.7</v>
      </c>
    </row>
    <row r="864" spans="1:11" x14ac:dyDescent="0.3">
      <c r="A864" t="s">
        <v>901</v>
      </c>
      <c r="B864" s="1">
        <v>45906</v>
      </c>
      <c r="C864" t="s">
        <v>62</v>
      </c>
      <c r="D864" t="s">
        <v>63</v>
      </c>
      <c r="E864" t="s">
        <v>22</v>
      </c>
      <c r="F864" t="s">
        <v>15</v>
      </c>
      <c r="G864" t="s">
        <v>51</v>
      </c>
      <c r="H864">
        <v>1</v>
      </c>
      <c r="I864">
        <v>129.86000000000001</v>
      </c>
      <c r="J864">
        <v>129.86000000000001</v>
      </c>
      <c r="K864">
        <v>45.89</v>
      </c>
    </row>
    <row r="865" spans="1:11" x14ac:dyDescent="0.3">
      <c r="A865" t="s">
        <v>902</v>
      </c>
      <c r="B865" s="1">
        <v>45944</v>
      </c>
      <c r="C865" t="s">
        <v>29</v>
      </c>
      <c r="D865" t="s">
        <v>13</v>
      </c>
      <c r="E865" t="s">
        <v>33</v>
      </c>
      <c r="F865" t="s">
        <v>15</v>
      </c>
      <c r="G865" t="s">
        <v>36</v>
      </c>
      <c r="H865">
        <v>2</v>
      </c>
      <c r="I865">
        <v>13085.99</v>
      </c>
      <c r="J865">
        <v>26171.98</v>
      </c>
      <c r="K865">
        <v>4188.09</v>
      </c>
    </row>
    <row r="866" spans="1:11" x14ac:dyDescent="0.3">
      <c r="A866" t="s">
        <v>903</v>
      </c>
      <c r="B866" s="1">
        <v>45893</v>
      </c>
      <c r="C866" t="s">
        <v>12</v>
      </c>
      <c r="D866" t="s">
        <v>13</v>
      </c>
      <c r="E866" t="s">
        <v>43</v>
      </c>
      <c r="F866" t="s">
        <v>23</v>
      </c>
      <c r="G866" t="s">
        <v>24</v>
      </c>
      <c r="H866">
        <v>1</v>
      </c>
      <c r="I866">
        <v>16672.439999999999</v>
      </c>
      <c r="J866">
        <v>16672.439999999999</v>
      </c>
      <c r="K866">
        <v>6260.19</v>
      </c>
    </row>
    <row r="867" spans="1:11" x14ac:dyDescent="0.3">
      <c r="A867" t="s">
        <v>904</v>
      </c>
      <c r="B867" s="1">
        <v>45729</v>
      </c>
      <c r="C867" t="s">
        <v>38</v>
      </c>
      <c r="D867" t="s">
        <v>39</v>
      </c>
      <c r="E867" t="s">
        <v>43</v>
      </c>
      <c r="F867" t="s">
        <v>15</v>
      </c>
      <c r="G867" t="s">
        <v>24</v>
      </c>
      <c r="H867">
        <v>4</v>
      </c>
      <c r="I867">
        <v>1223.44</v>
      </c>
      <c r="J867">
        <v>4893.76</v>
      </c>
      <c r="K867">
        <v>888.05</v>
      </c>
    </row>
    <row r="868" spans="1:11" x14ac:dyDescent="0.3">
      <c r="A868" t="s">
        <v>905</v>
      </c>
      <c r="B868" s="1">
        <v>45672</v>
      </c>
      <c r="C868" t="s">
        <v>57</v>
      </c>
      <c r="D868" t="s">
        <v>13</v>
      </c>
      <c r="E868" t="s">
        <v>22</v>
      </c>
      <c r="F868" t="s">
        <v>15</v>
      </c>
      <c r="G868" t="s">
        <v>24</v>
      </c>
      <c r="H868">
        <v>3</v>
      </c>
      <c r="I868">
        <v>472.24</v>
      </c>
      <c r="J868">
        <v>1416.72</v>
      </c>
      <c r="K868">
        <v>222.75</v>
      </c>
    </row>
    <row r="869" spans="1:11" x14ac:dyDescent="0.3">
      <c r="A869" t="s">
        <v>906</v>
      </c>
      <c r="B869" s="1">
        <v>45722</v>
      </c>
      <c r="C869" t="s">
        <v>20</v>
      </c>
      <c r="D869" t="s">
        <v>21</v>
      </c>
      <c r="E869" t="s">
        <v>14</v>
      </c>
      <c r="F869" t="s">
        <v>15</v>
      </c>
      <c r="G869" t="s">
        <v>30</v>
      </c>
      <c r="H869">
        <v>1</v>
      </c>
      <c r="I869">
        <v>5952.19</v>
      </c>
      <c r="J869">
        <v>5952.19</v>
      </c>
      <c r="K869">
        <v>1192.74</v>
      </c>
    </row>
    <row r="870" spans="1:11" x14ac:dyDescent="0.3">
      <c r="A870" t="s">
        <v>907</v>
      </c>
      <c r="B870" s="1">
        <v>45905</v>
      </c>
      <c r="C870" t="s">
        <v>62</v>
      </c>
      <c r="D870" t="s">
        <v>63</v>
      </c>
      <c r="E870" t="s">
        <v>33</v>
      </c>
      <c r="F870" t="s">
        <v>15</v>
      </c>
      <c r="G870" t="s">
        <v>36</v>
      </c>
      <c r="H870">
        <v>1</v>
      </c>
      <c r="I870">
        <v>110.59</v>
      </c>
      <c r="J870">
        <v>110.59</v>
      </c>
      <c r="K870">
        <v>19.22</v>
      </c>
    </row>
    <row r="871" spans="1:11" x14ac:dyDescent="0.3">
      <c r="A871" t="s">
        <v>908</v>
      </c>
      <c r="B871" s="1">
        <v>45718</v>
      </c>
      <c r="C871" t="s">
        <v>32</v>
      </c>
      <c r="D871" t="s">
        <v>21</v>
      </c>
      <c r="E871" t="s">
        <v>14</v>
      </c>
      <c r="F871" t="s">
        <v>15</v>
      </c>
      <c r="G871" t="s">
        <v>16</v>
      </c>
      <c r="H871">
        <v>1</v>
      </c>
      <c r="I871">
        <v>8642.9599999999991</v>
      </c>
      <c r="J871">
        <v>8642.9599999999991</v>
      </c>
      <c r="K871">
        <v>3261.24</v>
      </c>
    </row>
    <row r="872" spans="1:11" x14ac:dyDescent="0.3">
      <c r="A872" t="s">
        <v>909</v>
      </c>
      <c r="B872" s="1">
        <v>45763</v>
      </c>
      <c r="C872" t="s">
        <v>29</v>
      </c>
      <c r="D872" t="s">
        <v>13</v>
      </c>
      <c r="E872" t="s">
        <v>14</v>
      </c>
      <c r="F872" t="s">
        <v>15</v>
      </c>
      <c r="G872" t="s">
        <v>24</v>
      </c>
      <c r="H872">
        <v>4</v>
      </c>
      <c r="I872">
        <v>11243.48</v>
      </c>
      <c r="J872">
        <v>44973.919999999998</v>
      </c>
      <c r="K872">
        <v>12979.53</v>
      </c>
    </row>
    <row r="873" spans="1:11" x14ac:dyDescent="0.3">
      <c r="A873" t="s">
        <v>910</v>
      </c>
      <c r="B873" s="1">
        <v>45954</v>
      </c>
      <c r="C873" t="s">
        <v>117</v>
      </c>
      <c r="D873" t="s">
        <v>63</v>
      </c>
      <c r="E873" t="s">
        <v>33</v>
      </c>
      <c r="F873" t="s">
        <v>15</v>
      </c>
      <c r="G873" t="s">
        <v>16</v>
      </c>
      <c r="H873">
        <v>1</v>
      </c>
      <c r="I873">
        <v>85.68</v>
      </c>
      <c r="J873">
        <v>85.68</v>
      </c>
      <c r="K873">
        <v>15.16</v>
      </c>
    </row>
    <row r="874" spans="1:11" x14ac:dyDescent="0.3">
      <c r="A874" t="s">
        <v>911</v>
      </c>
      <c r="B874" s="1">
        <v>45949</v>
      </c>
      <c r="C874" t="s">
        <v>12</v>
      </c>
      <c r="D874" t="s">
        <v>13</v>
      </c>
      <c r="E874" t="s">
        <v>22</v>
      </c>
      <c r="F874" t="s">
        <v>15</v>
      </c>
      <c r="G874" t="s">
        <v>24</v>
      </c>
      <c r="H874">
        <v>1</v>
      </c>
      <c r="I874">
        <v>18281.28</v>
      </c>
      <c r="J874">
        <v>18281.28</v>
      </c>
      <c r="K874">
        <v>6880.42</v>
      </c>
    </row>
    <row r="875" spans="1:11" x14ac:dyDescent="0.3">
      <c r="A875" t="s">
        <v>912</v>
      </c>
      <c r="B875" s="1">
        <v>45745</v>
      </c>
      <c r="C875" t="s">
        <v>50</v>
      </c>
      <c r="D875" t="s">
        <v>39</v>
      </c>
      <c r="E875" t="s">
        <v>33</v>
      </c>
      <c r="F875" t="s">
        <v>23</v>
      </c>
      <c r="G875" t="s">
        <v>24</v>
      </c>
      <c r="H875">
        <v>1</v>
      </c>
      <c r="I875">
        <v>365.77</v>
      </c>
      <c r="J875">
        <v>365.77</v>
      </c>
      <c r="K875">
        <v>51.1</v>
      </c>
    </row>
    <row r="876" spans="1:11" x14ac:dyDescent="0.3">
      <c r="A876" t="s">
        <v>913</v>
      </c>
      <c r="B876" s="1">
        <v>46015</v>
      </c>
      <c r="C876" t="s">
        <v>29</v>
      </c>
      <c r="D876" t="s">
        <v>13</v>
      </c>
      <c r="E876" t="s">
        <v>43</v>
      </c>
      <c r="F876" t="s">
        <v>23</v>
      </c>
      <c r="G876" t="s">
        <v>36</v>
      </c>
      <c r="H876">
        <v>1</v>
      </c>
      <c r="I876">
        <v>12416.46</v>
      </c>
      <c r="J876">
        <v>12416.46</v>
      </c>
      <c r="K876">
        <v>4371.78</v>
      </c>
    </row>
    <row r="877" spans="1:11" x14ac:dyDescent="0.3">
      <c r="A877" t="s">
        <v>914</v>
      </c>
      <c r="B877" s="1">
        <v>45767</v>
      </c>
      <c r="C877" t="s">
        <v>50</v>
      </c>
      <c r="D877" t="s">
        <v>39</v>
      </c>
      <c r="E877" t="s">
        <v>14</v>
      </c>
      <c r="F877" t="s">
        <v>23</v>
      </c>
      <c r="G877" t="s">
        <v>30</v>
      </c>
      <c r="H877">
        <v>1</v>
      </c>
      <c r="I877">
        <v>322.89999999999998</v>
      </c>
      <c r="J877">
        <v>322.89999999999998</v>
      </c>
      <c r="K877">
        <v>40.04</v>
      </c>
    </row>
    <row r="878" spans="1:11" x14ac:dyDescent="0.3">
      <c r="A878" t="s">
        <v>915</v>
      </c>
      <c r="B878" s="1">
        <v>45924</v>
      </c>
      <c r="C878" t="s">
        <v>26</v>
      </c>
      <c r="D878" t="s">
        <v>13</v>
      </c>
      <c r="E878" t="s">
        <v>14</v>
      </c>
      <c r="F878" t="s">
        <v>15</v>
      </c>
      <c r="G878" t="s">
        <v>24</v>
      </c>
      <c r="H878">
        <v>2</v>
      </c>
      <c r="I878">
        <v>1750.05</v>
      </c>
      <c r="J878">
        <v>3500.1</v>
      </c>
      <c r="K878">
        <v>1067.7</v>
      </c>
    </row>
    <row r="879" spans="1:11" x14ac:dyDescent="0.3">
      <c r="A879" t="s">
        <v>916</v>
      </c>
      <c r="B879" s="1">
        <v>45910</v>
      </c>
      <c r="C879" t="s">
        <v>12</v>
      </c>
      <c r="D879" t="s">
        <v>13</v>
      </c>
      <c r="E879" t="s">
        <v>27</v>
      </c>
      <c r="F879" t="s">
        <v>15</v>
      </c>
      <c r="G879" t="s">
        <v>16</v>
      </c>
      <c r="H879">
        <v>1</v>
      </c>
      <c r="I879">
        <v>17845</v>
      </c>
      <c r="J879">
        <v>17845</v>
      </c>
      <c r="K879">
        <v>3365.47</v>
      </c>
    </row>
    <row r="880" spans="1:11" x14ac:dyDescent="0.3">
      <c r="A880" t="s">
        <v>917</v>
      </c>
      <c r="B880" s="1">
        <v>45866</v>
      </c>
      <c r="C880" t="s">
        <v>32</v>
      </c>
      <c r="D880" t="s">
        <v>21</v>
      </c>
      <c r="E880" t="s">
        <v>27</v>
      </c>
      <c r="F880" t="s">
        <v>23</v>
      </c>
      <c r="G880" t="s">
        <v>51</v>
      </c>
      <c r="H880">
        <v>5</v>
      </c>
      <c r="I880">
        <v>8870.33</v>
      </c>
      <c r="J880">
        <v>44351.65</v>
      </c>
      <c r="K880">
        <v>6973.8</v>
      </c>
    </row>
    <row r="881" spans="1:11" x14ac:dyDescent="0.3">
      <c r="A881" t="s">
        <v>918</v>
      </c>
      <c r="B881" s="1">
        <v>45664</v>
      </c>
      <c r="C881" t="s">
        <v>35</v>
      </c>
      <c r="D881" t="s">
        <v>13</v>
      </c>
      <c r="E881" t="s">
        <v>14</v>
      </c>
      <c r="F881" t="s">
        <v>15</v>
      </c>
      <c r="G881" t="s">
        <v>51</v>
      </c>
      <c r="H881">
        <v>2</v>
      </c>
      <c r="I881">
        <v>828.93</v>
      </c>
      <c r="J881">
        <v>1657.86</v>
      </c>
      <c r="K881">
        <v>441.16</v>
      </c>
    </row>
    <row r="882" spans="1:11" x14ac:dyDescent="0.3">
      <c r="A882" t="s">
        <v>919</v>
      </c>
      <c r="B882" s="1">
        <v>45860</v>
      </c>
      <c r="C882" t="s">
        <v>62</v>
      </c>
      <c r="D882" t="s">
        <v>63</v>
      </c>
      <c r="E882" t="s">
        <v>22</v>
      </c>
      <c r="F882" t="s">
        <v>15</v>
      </c>
      <c r="G882" t="s">
        <v>24</v>
      </c>
      <c r="H882">
        <v>2</v>
      </c>
      <c r="I882">
        <v>131.46</v>
      </c>
      <c r="J882">
        <v>262.92</v>
      </c>
      <c r="K882">
        <v>49.23</v>
      </c>
    </row>
    <row r="883" spans="1:11" x14ac:dyDescent="0.3">
      <c r="A883" t="s">
        <v>920</v>
      </c>
      <c r="B883" s="1">
        <v>45759</v>
      </c>
      <c r="C883" t="s">
        <v>117</v>
      </c>
      <c r="D883" t="s">
        <v>63</v>
      </c>
      <c r="E883" t="s">
        <v>22</v>
      </c>
      <c r="F883" t="s">
        <v>23</v>
      </c>
      <c r="G883" t="s">
        <v>36</v>
      </c>
      <c r="H883">
        <v>1</v>
      </c>
      <c r="I883">
        <v>85.5</v>
      </c>
      <c r="J883">
        <v>85.5</v>
      </c>
      <c r="K883">
        <v>23.5</v>
      </c>
    </row>
    <row r="884" spans="1:11" x14ac:dyDescent="0.3">
      <c r="A884" t="s">
        <v>921</v>
      </c>
      <c r="B884" s="1">
        <v>45800</v>
      </c>
      <c r="C884" t="s">
        <v>57</v>
      </c>
      <c r="D884" t="s">
        <v>13</v>
      </c>
      <c r="E884" t="s">
        <v>27</v>
      </c>
      <c r="F884" t="s">
        <v>23</v>
      </c>
      <c r="G884" t="s">
        <v>36</v>
      </c>
      <c r="H884">
        <v>3</v>
      </c>
      <c r="I884">
        <v>509.36</v>
      </c>
      <c r="J884">
        <v>1528.08</v>
      </c>
      <c r="K884">
        <v>280.19</v>
      </c>
    </row>
    <row r="885" spans="1:11" x14ac:dyDescent="0.3">
      <c r="A885" t="s">
        <v>922</v>
      </c>
      <c r="B885" s="1">
        <v>45999</v>
      </c>
      <c r="C885" t="s">
        <v>29</v>
      </c>
      <c r="D885" t="s">
        <v>13</v>
      </c>
      <c r="E885" t="s">
        <v>22</v>
      </c>
      <c r="F885" t="s">
        <v>23</v>
      </c>
      <c r="G885" t="s">
        <v>30</v>
      </c>
      <c r="H885">
        <v>5</v>
      </c>
      <c r="I885">
        <v>13170.06</v>
      </c>
      <c r="J885">
        <v>65850.3</v>
      </c>
      <c r="K885">
        <v>16267.15</v>
      </c>
    </row>
    <row r="886" spans="1:11" x14ac:dyDescent="0.3">
      <c r="A886" t="s">
        <v>923</v>
      </c>
      <c r="B886" s="1">
        <v>45720</v>
      </c>
      <c r="C886" t="s">
        <v>32</v>
      </c>
      <c r="D886" t="s">
        <v>21</v>
      </c>
      <c r="E886" t="s">
        <v>14</v>
      </c>
      <c r="F886" t="s">
        <v>15</v>
      </c>
      <c r="G886" t="s">
        <v>30</v>
      </c>
      <c r="H886">
        <v>2</v>
      </c>
      <c r="I886">
        <v>8515.48</v>
      </c>
      <c r="J886">
        <v>17030.96</v>
      </c>
      <c r="K886">
        <v>2298.7600000000002</v>
      </c>
    </row>
    <row r="887" spans="1:11" x14ac:dyDescent="0.3">
      <c r="A887" t="s">
        <v>924</v>
      </c>
      <c r="B887" s="1">
        <v>45692</v>
      </c>
      <c r="C887" t="s">
        <v>38</v>
      </c>
      <c r="D887" t="s">
        <v>39</v>
      </c>
      <c r="E887" t="s">
        <v>43</v>
      </c>
      <c r="F887" t="s">
        <v>15</v>
      </c>
      <c r="G887" t="s">
        <v>24</v>
      </c>
      <c r="H887">
        <v>2</v>
      </c>
      <c r="I887">
        <v>1313.3</v>
      </c>
      <c r="J887">
        <v>2626.6</v>
      </c>
      <c r="K887">
        <v>736.8</v>
      </c>
    </row>
    <row r="888" spans="1:11" x14ac:dyDescent="0.3">
      <c r="A888" t="s">
        <v>925</v>
      </c>
      <c r="B888" s="1">
        <v>45976</v>
      </c>
      <c r="C888" t="s">
        <v>29</v>
      </c>
      <c r="D888" t="s">
        <v>13</v>
      </c>
      <c r="E888" t="s">
        <v>27</v>
      </c>
      <c r="F888" t="s">
        <v>23</v>
      </c>
      <c r="G888" t="s">
        <v>51</v>
      </c>
      <c r="H888">
        <v>1</v>
      </c>
      <c r="I888">
        <v>10983.64</v>
      </c>
      <c r="J888">
        <v>10983.64</v>
      </c>
      <c r="K888">
        <v>2027.38</v>
      </c>
    </row>
    <row r="889" spans="1:11" x14ac:dyDescent="0.3">
      <c r="A889" t="s">
        <v>926</v>
      </c>
      <c r="B889" s="1">
        <v>45808</v>
      </c>
      <c r="C889" t="s">
        <v>35</v>
      </c>
      <c r="D889" t="s">
        <v>13</v>
      </c>
      <c r="E889" t="s">
        <v>33</v>
      </c>
      <c r="F889" t="s">
        <v>15</v>
      </c>
      <c r="G889" t="s">
        <v>30</v>
      </c>
      <c r="H889">
        <v>2</v>
      </c>
      <c r="I889">
        <v>900.86</v>
      </c>
      <c r="J889">
        <v>1801.72</v>
      </c>
      <c r="K889">
        <v>430.55</v>
      </c>
    </row>
    <row r="890" spans="1:11" x14ac:dyDescent="0.3">
      <c r="A890" t="s">
        <v>927</v>
      </c>
      <c r="B890" s="1">
        <v>45878</v>
      </c>
      <c r="C890" t="s">
        <v>12</v>
      </c>
      <c r="D890" t="s">
        <v>13</v>
      </c>
      <c r="E890" t="s">
        <v>27</v>
      </c>
      <c r="F890" t="s">
        <v>15</v>
      </c>
      <c r="G890" t="s">
        <v>30</v>
      </c>
      <c r="H890">
        <v>1</v>
      </c>
      <c r="I890">
        <v>17332.41</v>
      </c>
      <c r="J890">
        <v>17332.41</v>
      </c>
      <c r="K890">
        <v>4890.38</v>
      </c>
    </row>
    <row r="891" spans="1:11" x14ac:dyDescent="0.3">
      <c r="A891" t="s">
        <v>928</v>
      </c>
      <c r="B891" s="1">
        <v>45748</v>
      </c>
      <c r="C891" t="s">
        <v>50</v>
      </c>
      <c r="D891" t="s">
        <v>39</v>
      </c>
      <c r="E891" t="s">
        <v>22</v>
      </c>
      <c r="F891" t="s">
        <v>23</v>
      </c>
      <c r="G891" t="s">
        <v>36</v>
      </c>
      <c r="H891">
        <v>2</v>
      </c>
      <c r="I891">
        <v>369.56</v>
      </c>
      <c r="J891">
        <v>739.12</v>
      </c>
      <c r="K891">
        <v>110.85</v>
      </c>
    </row>
    <row r="892" spans="1:11" x14ac:dyDescent="0.3">
      <c r="A892" t="s">
        <v>929</v>
      </c>
      <c r="B892" s="1">
        <v>45726</v>
      </c>
      <c r="C892" t="s">
        <v>32</v>
      </c>
      <c r="D892" t="s">
        <v>21</v>
      </c>
      <c r="E892" t="s">
        <v>27</v>
      </c>
      <c r="F892" t="s">
        <v>23</v>
      </c>
      <c r="G892" t="s">
        <v>36</v>
      </c>
      <c r="H892">
        <v>3</v>
      </c>
      <c r="I892">
        <v>8977.42</v>
      </c>
      <c r="J892">
        <v>26932.26</v>
      </c>
      <c r="K892">
        <v>9468.32</v>
      </c>
    </row>
    <row r="893" spans="1:11" x14ac:dyDescent="0.3">
      <c r="A893" t="s">
        <v>930</v>
      </c>
      <c r="B893" s="1">
        <v>45945</v>
      </c>
      <c r="C893" t="s">
        <v>26</v>
      </c>
      <c r="D893" t="s">
        <v>13</v>
      </c>
      <c r="E893" t="s">
        <v>27</v>
      </c>
      <c r="F893" t="s">
        <v>23</v>
      </c>
      <c r="G893" t="s">
        <v>24</v>
      </c>
      <c r="H893">
        <v>2</v>
      </c>
      <c r="I893">
        <v>1760.9</v>
      </c>
      <c r="J893">
        <v>3521.8</v>
      </c>
      <c r="K893">
        <v>885.31</v>
      </c>
    </row>
    <row r="894" spans="1:11" x14ac:dyDescent="0.3">
      <c r="A894" t="s">
        <v>931</v>
      </c>
      <c r="B894" s="1">
        <v>45822</v>
      </c>
      <c r="C894" t="s">
        <v>18</v>
      </c>
      <c r="D894" t="s">
        <v>13</v>
      </c>
      <c r="E894" t="s">
        <v>43</v>
      </c>
      <c r="F894" t="s">
        <v>15</v>
      </c>
      <c r="G894" t="s">
        <v>24</v>
      </c>
      <c r="H894">
        <v>1</v>
      </c>
      <c r="I894">
        <v>38178.99</v>
      </c>
      <c r="J894">
        <v>38178.99</v>
      </c>
      <c r="K894">
        <v>6200.16</v>
      </c>
    </row>
    <row r="895" spans="1:11" x14ac:dyDescent="0.3">
      <c r="A895" t="s">
        <v>932</v>
      </c>
      <c r="B895" s="1">
        <v>45852</v>
      </c>
      <c r="C895" t="s">
        <v>12</v>
      </c>
      <c r="D895" t="s">
        <v>13</v>
      </c>
      <c r="E895" t="s">
        <v>14</v>
      </c>
      <c r="F895" t="s">
        <v>15</v>
      </c>
      <c r="G895" t="s">
        <v>51</v>
      </c>
      <c r="H895">
        <v>2</v>
      </c>
      <c r="I895">
        <v>19771</v>
      </c>
      <c r="J895">
        <v>39542</v>
      </c>
      <c r="K895">
        <v>10790.94</v>
      </c>
    </row>
    <row r="896" spans="1:11" x14ac:dyDescent="0.3">
      <c r="A896" t="s">
        <v>933</v>
      </c>
      <c r="B896" s="1">
        <v>45778</v>
      </c>
      <c r="C896" t="s">
        <v>35</v>
      </c>
      <c r="D896" t="s">
        <v>13</v>
      </c>
      <c r="E896" t="s">
        <v>43</v>
      </c>
      <c r="F896" t="s">
        <v>15</v>
      </c>
      <c r="G896" t="s">
        <v>24</v>
      </c>
      <c r="H896">
        <v>1</v>
      </c>
      <c r="I896">
        <v>825.29</v>
      </c>
      <c r="J896">
        <v>825.29</v>
      </c>
      <c r="K896">
        <v>165.98</v>
      </c>
    </row>
    <row r="897" spans="1:11" x14ac:dyDescent="0.3">
      <c r="A897" t="s">
        <v>934</v>
      </c>
      <c r="B897" s="1">
        <v>45744</v>
      </c>
      <c r="C897" t="s">
        <v>18</v>
      </c>
      <c r="D897" t="s">
        <v>13</v>
      </c>
      <c r="E897" t="s">
        <v>27</v>
      </c>
      <c r="F897" t="s">
        <v>23</v>
      </c>
      <c r="G897" t="s">
        <v>24</v>
      </c>
      <c r="H897">
        <v>2</v>
      </c>
      <c r="I897">
        <v>38113.97</v>
      </c>
      <c r="J897">
        <v>76227.94</v>
      </c>
      <c r="K897">
        <v>15930.14</v>
      </c>
    </row>
    <row r="898" spans="1:11" x14ac:dyDescent="0.3">
      <c r="A898" t="s">
        <v>935</v>
      </c>
      <c r="B898" s="1">
        <v>45668</v>
      </c>
      <c r="C898" t="s">
        <v>57</v>
      </c>
      <c r="D898" t="s">
        <v>13</v>
      </c>
      <c r="E898" t="s">
        <v>33</v>
      </c>
      <c r="F898" t="s">
        <v>23</v>
      </c>
      <c r="G898" t="s">
        <v>24</v>
      </c>
      <c r="H898">
        <v>2</v>
      </c>
      <c r="I898">
        <v>452.22</v>
      </c>
      <c r="J898">
        <v>904.44</v>
      </c>
      <c r="K898">
        <v>269.26</v>
      </c>
    </row>
    <row r="899" spans="1:11" x14ac:dyDescent="0.3">
      <c r="A899" t="s">
        <v>936</v>
      </c>
      <c r="B899" s="1">
        <v>45951</v>
      </c>
      <c r="C899" t="s">
        <v>12</v>
      </c>
      <c r="D899" t="s">
        <v>13</v>
      </c>
      <c r="E899" t="s">
        <v>43</v>
      </c>
      <c r="F899" t="s">
        <v>23</v>
      </c>
      <c r="G899" t="s">
        <v>16</v>
      </c>
      <c r="H899">
        <v>3</v>
      </c>
      <c r="I899">
        <v>16560.2</v>
      </c>
      <c r="J899">
        <v>49680.6</v>
      </c>
      <c r="K899">
        <v>10158.25</v>
      </c>
    </row>
    <row r="900" spans="1:11" x14ac:dyDescent="0.3">
      <c r="A900" t="s">
        <v>937</v>
      </c>
      <c r="B900" s="1">
        <v>45999</v>
      </c>
      <c r="C900" t="s">
        <v>117</v>
      </c>
      <c r="D900" t="s">
        <v>63</v>
      </c>
      <c r="E900" t="s">
        <v>22</v>
      </c>
      <c r="F900" t="s">
        <v>23</v>
      </c>
      <c r="G900" t="s">
        <v>30</v>
      </c>
      <c r="H900">
        <v>1</v>
      </c>
      <c r="I900">
        <v>76.790000000000006</v>
      </c>
      <c r="J900">
        <v>76.790000000000006</v>
      </c>
      <c r="K900">
        <v>9.83</v>
      </c>
    </row>
    <row r="901" spans="1:11" x14ac:dyDescent="0.3">
      <c r="A901" t="s">
        <v>938</v>
      </c>
      <c r="B901" s="1">
        <v>45932</v>
      </c>
      <c r="C901" t="s">
        <v>20</v>
      </c>
      <c r="D901" t="s">
        <v>21</v>
      </c>
      <c r="E901" t="s">
        <v>27</v>
      </c>
      <c r="F901" t="s">
        <v>15</v>
      </c>
      <c r="G901" t="s">
        <v>16</v>
      </c>
      <c r="H901">
        <v>1</v>
      </c>
      <c r="I901">
        <v>5911.79</v>
      </c>
      <c r="J901">
        <v>5911.79</v>
      </c>
      <c r="K901">
        <v>715.21</v>
      </c>
    </row>
    <row r="902" spans="1:11" x14ac:dyDescent="0.3">
      <c r="A902" t="s">
        <v>939</v>
      </c>
      <c r="B902" s="1">
        <v>45705</v>
      </c>
      <c r="C902" t="s">
        <v>57</v>
      </c>
      <c r="D902" t="s">
        <v>13</v>
      </c>
      <c r="E902" t="s">
        <v>14</v>
      </c>
      <c r="F902" t="s">
        <v>23</v>
      </c>
      <c r="G902" t="s">
        <v>36</v>
      </c>
      <c r="H902">
        <v>3</v>
      </c>
      <c r="I902">
        <v>459.47</v>
      </c>
      <c r="J902">
        <v>1378.41</v>
      </c>
      <c r="K902">
        <v>403.08</v>
      </c>
    </row>
    <row r="903" spans="1:11" x14ac:dyDescent="0.3">
      <c r="A903" t="s">
        <v>940</v>
      </c>
      <c r="B903" s="1">
        <v>45765</v>
      </c>
      <c r="C903" t="s">
        <v>117</v>
      </c>
      <c r="D903" t="s">
        <v>63</v>
      </c>
      <c r="E903" t="s">
        <v>43</v>
      </c>
      <c r="F903" t="s">
        <v>23</v>
      </c>
      <c r="G903" t="s">
        <v>16</v>
      </c>
      <c r="H903">
        <v>3</v>
      </c>
      <c r="I903">
        <v>82.42</v>
      </c>
      <c r="J903">
        <v>247.26</v>
      </c>
      <c r="K903">
        <v>74.55</v>
      </c>
    </row>
    <row r="904" spans="1:11" x14ac:dyDescent="0.3">
      <c r="A904" t="s">
        <v>941</v>
      </c>
      <c r="B904" s="1">
        <v>45818</v>
      </c>
      <c r="C904" t="s">
        <v>20</v>
      </c>
      <c r="D904" t="s">
        <v>21</v>
      </c>
      <c r="E904" t="s">
        <v>33</v>
      </c>
      <c r="F904" t="s">
        <v>15</v>
      </c>
      <c r="G904" t="s">
        <v>30</v>
      </c>
      <c r="H904">
        <v>1</v>
      </c>
      <c r="I904">
        <v>6176.64</v>
      </c>
      <c r="J904">
        <v>6176.64</v>
      </c>
      <c r="K904">
        <v>1519.48</v>
      </c>
    </row>
    <row r="905" spans="1:11" x14ac:dyDescent="0.3">
      <c r="A905" t="s">
        <v>942</v>
      </c>
      <c r="B905" s="1">
        <v>45979</v>
      </c>
      <c r="C905" t="s">
        <v>57</v>
      </c>
      <c r="D905" t="s">
        <v>13</v>
      </c>
      <c r="E905" t="s">
        <v>27</v>
      </c>
      <c r="F905" t="s">
        <v>23</v>
      </c>
      <c r="G905" t="s">
        <v>16</v>
      </c>
      <c r="H905">
        <v>2</v>
      </c>
      <c r="I905">
        <v>468.65</v>
      </c>
      <c r="J905">
        <v>937.3</v>
      </c>
      <c r="K905">
        <v>234.52</v>
      </c>
    </row>
    <row r="906" spans="1:11" x14ac:dyDescent="0.3">
      <c r="A906" t="s">
        <v>943</v>
      </c>
      <c r="B906" s="1">
        <v>45972</v>
      </c>
      <c r="C906" t="s">
        <v>62</v>
      </c>
      <c r="D906" t="s">
        <v>63</v>
      </c>
      <c r="E906" t="s">
        <v>22</v>
      </c>
      <c r="F906" t="s">
        <v>23</v>
      </c>
      <c r="G906" t="s">
        <v>36</v>
      </c>
      <c r="H906">
        <v>4</v>
      </c>
      <c r="I906">
        <v>125.44</v>
      </c>
      <c r="J906">
        <v>501.76</v>
      </c>
      <c r="K906">
        <v>182.86</v>
      </c>
    </row>
    <row r="907" spans="1:11" x14ac:dyDescent="0.3">
      <c r="A907" t="s">
        <v>944</v>
      </c>
      <c r="B907" s="1">
        <v>45733</v>
      </c>
      <c r="C907" t="s">
        <v>20</v>
      </c>
      <c r="D907" t="s">
        <v>21</v>
      </c>
      <c r="E907" t="s">
        <v>27</v>
      </c>
      <c r="F907" t="s">
        <v>23</v>
      </c>
      <c r="G907" t="s">
        <v>24</v>
      </c>
      <c r="H907">
        <v>1</v>
      </c>
      <c r="I907">
        <v>6740.9</v>
      </c>
      <c r="J907">
        <v>6740.9</v>
      </c>
      <c r="K907">
        <v>2035.27</v>
      </c>
    </row>
    <row r="908" spans="1:11" x14ac:dyDescent="0.3">
      <c r="A908" t="s">
        <v>945</v>
      </c>
      <c r="B908" s="1">
        <v>45690</v>
      </c>
      <c r="C908" t="s">
        <v>35</v>
      </c>
      <c r="D908" t="s">
        <v>13</v>
      </c>
      <c r="E908" t="s">
        <v>22</v>
      </c>
      <c r="F908" t="s">
        <v>23</v>
      </c>
      <c r="G908" t="s">
        <v>16</v>
      </c>
      <c r="H908">
        <v>1</v>
      </c>
      <c r="I908">
        <v>884.24</v>
      </c>
      <c r="J908">
        <v>884.24</v>
      </c>
      <c r="K908">
        <v>146.63999999999999</v>
      </c>
    </row>
    <row r="909" spans="1:11" x14ac:dyDescent="0.3">
      <c r="A909" t="s">
        <v>946</v>
      </c>
      <c r="B909" s="1">
        <v>45778</v>
      </c>
      <c r="C909" t="s">
        <v>62</v>
      </c>
      <c r="D909" t="s">
        <v>63</v>
      </c>
      <c r="E909" t="s">
        <v>43</v>
      </c>
      <c r="F909" t="s">
        <v>23</v>
      </c>
      <c r="G909" t="s">
        <v>36</v>
      </c>
      <c r="H909">
        <v>1</v>
      </c>
      <c r="I909">
        <v>111.6</v>
      </c>
      <c r="J909">
        <v>111.6</v>
      </c>
      <c r="K909">
        <v>41.6</v>
      </c>
    </row>
    <row r="910" spans="1:11" x14ac:dyDescent="0.3">
      <c r="A910" t="s">
        <v>947</v>
      </c>
      <c r="B910" s="1">
        <v>45944</v>
      </c>
      <c r="C910" t="s">
        <v>62</v>
      </c>
      <c r="D910" t="s">
        <v>63</v>
      </c>
      <c r="E910" t="s">
        <v>43</v>
      </c>
      <c r="F910" t="s">
        <v>15</v>
      </c>
      <c r="G910" t="s">
        <v>30</v>
      </c>
      <c r="H910">
        <v>2</v>
      </c>
      <c r="I910">
        <v>129.74</v>
      </c>
      <c r="J910">
        <v>259.48</v>
      </c>
      <c r="K910">
        <v>84.98</v>
      </c>
    </row>
    <row r="911" spans="1:11" x14ac:dyDescent="0.3">
      <c r="A911" t="s">
        <v>948</v>
      </c>
      <c r="B911" s="1">
        <v>45790</v>
      </c>
      <c r="C911" t="s">
        <v>32</v>
      </c>
      <c r="D911" t="s">
        <v>21</v>
      </c>
      <c r="E911" t="s">
        <v>27</v>
      </c>
      <c r="F911" t="s">
        <v>15</v>
      </c>
      <c r="G911" t="s">
        <v>30</v>
      </c>
      <c r="H911">
        <v>2</v>
      </c>
      <c r="I911">
        <v>8416.77</v>
      </c>
      <c r="J911">
        <v>16833.54</v>
      </c>
      <c r="K911">
        <v>2665.5</v>
      </c>
    </row>
    <row r="912" spans="1:11" x14ac:dyDescent="0.3">
      <c r="A912" t="s">
        <v>949</v>
      </c>
      <c r="B912" s="1">
        <v>45700</v>
      </c>
      <c r="C912" t="s">
        <v>117</v>
      </c>
      <c r="D912" t="s">
        <v>63</v>
      </c>
      <c r="E912" t="s">
        <v>27</v>
      </c>
      <c r="F912" t="s">
        <v>23</v>
      </c>
      <c r="G912" t="s">
        <v>30</v>
      </c>
      <c r="H912">
        <v>2</v>
      </c>
      <c r="I912">
        <v>85.87</v>
      </c>
      <c r="J912">
        <v>171.74</v>
      </c>
      <c r="K912">
        <v>25.05</v>
      </c>
    </row>
    <row r="913" spans="1:11" x14ac:dyDescent="0.3">
      <c r="A913" t="s">
        <v>950</v>
      </c>
      <c r="B913" s="1">
        <v>45861</v>
      </c>
      <c r="C913" t="s">
        <v>57</v>
      </c>
      <c r="D913" t="s">
        <v>13</v>
      </c>
      <c r="E913" t="s">
        <v>33</v>
      </c>
      <c r="F913" t="s">
        <v>15</v>
      </c>
      <c r="G913" t="s">
        <v>16</v>
      </c>
      <c r="H913">
        <v>3</v>
      </c>
      <c r="I913">
        <v>473.6</v>
      </c>
      <c r="J913">
        <v>1420.8</v>
      </c>
      <c r="K913">
        <v>328.98</v>
      </c>
    </row>
    <row r="914" spans="1:11" x14ac:dyDescent="0.3">
      <c r="A914" t="s">
        <v>951</v>
      </c>
      <c r="B914" s="1">
        <v>45998</v>
      </c>
      <c r="C914" t="s">
        <v>29</v>
      </c>
      <c r="D914" t="s">
        <v>13</v>
      </c>
      <c r="E914" t="s">
        <v>14</v>
      </c>
      <c r="F914" t="s">
        <v>15</v>
      </c>
      <c r="G914" t="s">
        <v>16</v>
      </c>
      <c r="H914">
        <v>4</v>
      </c>
      <c r="I914">
        <v>13035.73</v>
      </c>
      <c r="J914">
        <v>52142.92</v>
      </c>
      <c r="K914">
        <v>16400.509999999998</v>
      </c>
    </row>
    <row r="915" spans="1:11" x14ac:dyDescent="0.3">
      <c r="A915" t="s">
        <v>952</v>
      </c>
      <c r="B915" s="1">
        <v>45720</v>
      </c>
      <c r="C915" t="s">
        <v>117</v>
      </c>
      <c r="D915" t="s">
        <v>63</v>
      </c>
      <c r="E915" t="s">
        <v>22</v>
      </c>
      <c r="F915" t="s">
        <v>23</v>
      </c>
      <c r="G915" t="s">
        <v>51</v>
      </c>
      <c r="H915">
        <v>1</v>
      </c>
      <c r="I915">
        <v>81.349999999999994</v>
      </c>
      <c r="J915">
        <v>81.349999999999994</v>
      </c>
      <c r="K915">
        <v>22.67</v>
      </c>
    </row>
    <row r="916" spans="1:11" x14ac:dyDescent="0.3">
      <c r="A916" t="s">
        <v>953</v>
      </c>
      <c r="B916" s="1">
        <v>45731</v>
      </c>
      <c r="C916" t="s">
        <v>12</v>
      </c>
      <c r="D916" t="s">
        <v>13</v>
      </c>
      <c r="E916" t="s">
        <v>43</v>
      </c>
      <c r="F916" t="s">
        <v>15</v>
      </c>
      <c r="G916" t="s">
        <v>36</v>
      </c>
      <c r="H916">
        <v>1</v>
      </c>
      <c r="I916">
        <v>19691.72</v>
      </c>
      <c r="J916">
        <v>19691.72</v>
      </c>
      <c r="K916">
        <v>5232.8100000000004</v>
      </c>
    </row>
    <row r="917" spans="1:11" x14ac:dyDescent="0.3">
      <c r="A917" t="s">
        <v>954</v>
      </c>
      <c r="B917" s="1">
        <v>45931</v>
      </c>
      <c r="C917" t="s">
        <v>117</v>
      </c>
      <c r="D917" t="s">
        <v>63</v>
      </c>
      <c r="E917" t="s">
        <v>27</v>
      </c>
      <c r="F917" t="s">
        <v>15</v>
      </c>
      <c r="G917" t="s">
        <v>24</v>
      </c>
      <c r="H917">
        <v>2</v>
      </c>
      <c r="I917">
        <v>73.81</v>
      </c>
      <c r="J917">
        <v>147.62</v>
      </c>
      <c r="K917">
        <v>35.15</v>
      </c>
    </row>
    <row r="918" spans="1:11" x14ac:dyDescent="0.3">
      <c r="A918" t="s">
        <v>955</v>
      </c>
      <c r="B918" s="1">
        <v>45732</v>
      </c>
      <c r="C918" t="s">
        <v>117</v>
      </c>
      <c r="D918" t="s">
        <v>63</v>
      </c>
      <c r="E918" t="s">
        <v>33</v>
      </c>
      <c r="F918" t="s">
        <v>15</v>
      </c>
      <c r="G918" t="s">
        <v>30</v>
      </c>
      <c r="H918">
        <v>2</v>
      </c>
      <c r="I918">
        <v>77.88</v>
      </c>
      <c r="J918">
        <v>155.76</v>
      </c>
      <c r="K918">
        <v>46.71</v>
      </c>
    </row>
    <row r="919" spans="1:11" x14ac:dyDescent="0.3">
      <c r="A919" t="s">
        <v>956</v>
      </c>
      <c r="B919" s="1">
        <v>46011</v>
      </c>
      <c r="C919" t="s">
        <v>35</v>
      </c>
      <c r="D919" t="s">
        <v>13</v>
      </c>
      <c r="E919" t="s">
        <v>43</v>
      </c>
      <c r="F919" t="s">
        <v>15</v>
      </c>
      <c r="G919" t="s">
        <v>16</v>
      </c>
      <c r="H919">
        <v>1</v>
      </c>
      <c r="I919">
        <v>909.49</v>
      </c>
      <c r="J919">
        <v>909.49</v>
      </c>
      <c r="K919">
        <v>272.47000000000003</v>
      </c>
    </row>
    <row r="920" spans="1:11" x14ac:dyDescent="0.3">
      <c r="A920" t="s">
        <v>957</v>
      </c>
      <c r="B920" s="1">
        <v>45779</v>
      </c>
      <c r="C920" t="s">
        <v>38</v>
      </c>
      <c r="D920" t="s">
        <v>39</v>
      </c>
      <c r="E920" t="s">
        <v>43</v>
      </c>
      <c r="F920" t="s">
        <v>23</v>
      </c>
      <c r="G920" t="s">
        <v>30</v>
      </c>
      <c r="H920">
        <v>1</v>
      </c>
      <c r="I920">
        <v>1298.3499999999999</v>
      </c>
      <c r="J920">
        <v>1298.3499999999999</v>
      </c>
      <c r="K920">
        <v>360.72</v>
      </c>
    </row>
    <row r="921" spans="1:11" x14ac:dyDescent="0.3">
      <c r="A921" t="s">
        <v>958</v>
      </c>
      <c r="B921" s="1">
        <v>45778</v>
      </c>
      <c r="C921" t="s">
        <v>32</v>
      </c>
      <c r="D921" t="s">
        <v>21</v>
      </c>
      <c r="E921" t="s">
        <v>43</v>
      </c>
      <c r="F921" t="s">
        <v>23</v>
      </c>
      <c r="G921" t="s">
        <v>30</v>
      </c>
      <c r="H921">
        <v>1</v>
      </c>
      <c r="I921">
        <v>9702.44</v>
      </c>
      <c r="J921">
        <v>9702.44</v>
      </c>
      <c r="K921">
        <v>1376.47</v>
      </c>
    </row>
    <row r="922" spans="1:11" x14ac:dyDescent="0.3">
      <c r="A922" t="s">
        <v>959</v>
      </c>
      <c r="B922" s="1">
        <v>45798</v>
      </c>
      <c r="C922" t="s">
        <v>12</v>
      </c>
      <c r="D922" t="s">
        <v>13</v>
      </c>
      <c r="E922" t="s">
        <v>27</v>
      </c>
      <c r="F922" t="s">
        <v>23</v>
      </c>
      <c r="G922" t="s">
        <v>36</v>
      </c>
      <c r="H922">
        <v>3</v>
      </c>
      <c r="I922">
        <v>19585.78</v>
      </c>
      <c r="J922">
        <v>58757.34</v>
      </c>
      <c r="K922">
        <v>15130.97</v>
      </c>
    </row>
    <row r="923" spans="1:11" x14ac:dyDescent="0.3">
      <c r="A923" t="s">
        <v>960</v>
      </c>
      <c r="B923" s="1">
        <v>45709</v>
      </c>
      <c r="C923" t="s">
        <v>26</v>
      </c>
      <c r="D923" t="s">
        <v>13</v>
      </c>
      <c r="E923" t="s">
        <v>33</v>
      </c>
      <c r="F923" t="s">
        <v>23</v>
      </c>
      <c r="G923" t="s">
        <v>36</v>
      </c>
      <c r="H923">
        <v>2</v>
      </c>
      <c r="I923">
        <v>1802.28</v>
      </c>
      <c r="J923">
        <v>3604.56</v>
      </c>
      <c r="K923">
        <v>1039.98</v>
      </c>
    </row>
    <row r="924" spans="1:11" x14ac:dyDescent="0.3">
      <c r="A924" t="s">
        <v>961</v>
      </c>
      <c r="B924" s="1">
        <v>46013</v>
      </c>
      <c r="C924" t="s">
        <v>18</v>
      </c>
      <c r="D924" t="s">
        <v>13</v>
      </c>
      <c r="E924" t="s">
        <v>27</v>
      </c>
      <c r="F924" t="s">
        <v>15</v>
      </c>
      <c r="G924" t="s">
        <v>30</v>
      </c>
      <c r="H924">
        <v>3</v>
      </c>
      <c r="I924">
        <v>43187.53</v>
      </c>
      <c r="J924">
        <v>129562.59</v>
      </c>
      <c r="K924">
        <v>43044.28</v>
      </c>
    </row>
    <row r="925" spans="1:11" x14ac:dyDescent="0.3">
      <c r="A925" t="s">
        <v>962</v>
      </c>
      <c r="B925" s="1">
        <v>45863</v>
      </c>
      <c r="C925" t="s">
        <v>20</v>
      </c>
      <c r="D925" t="s">
        <v>21</v>
      </c>
      <c r="E925" t="s">
        <v>22</v>
      </c>
      <c r="F925" t="s">
        <v>15</v>
      </c>
      <c r="G925" t="s">
        <v>16</v>
      </c>
      <c r="H925">
        <v>2</v>
      </c>
      <c r="I925">
        <v>6257.84</v>
      </c>
      <c r="J925">
        <v>12515.68</v>
      </c>
      <c r="K925">
        <v>4488.37</v>
      </c>
    </row>
    <row r="926" spans="1:11" x14ac:dyDescent="0.3">
      <c r="A926" t="s">
        <v>963</v>
      </c>
      <c r="B926" s="1">
        <v>45990</v>
      </c>
      <c r="C926" t="s">
        <v>26</v>
      </c>
      <c r="D926" t="s">
        <v>13</v>
      </c>
      <c r="E926" t="s">
        <v>43</v>
      </c>
      <c r="F926" t="s">
        <v>23</v>
      </c>
      <c r="G926" t="s">
        <v>36</v>
      </c>
      <c r="H926">
        <v>3</v>
      </c>
      <c r="I926">
        <v>1866.87</v>
      </c>
      <c r="J926">
        <v>5600.61</v>
      </c>
      <c r="K926">
        <v>974.02</v>
      </c>
    </row>
    <row r="927" spans="1:11" x14ac:dyDescent="0.3">
      <c r="A927" t="s">
        <v>964</v>
      </c>
      <c r="B927" s="1">
        <v>45726</v>
      </c>
      <c r="C927" t="s">
        <v>32</v>
      </c>
      <c r="D927" t="s">
        <v>21</v>
      </c>
      <c r="E927" t="s">
        <v>43</v>
      </c>
      <c r="F927" t="s">
        <v>15</v>
      </c>
      <c r="G927" t="s">
        <v>30</v>
      </c>
      <c r="H927">
        <v>1</v>
      </c>
      <c r="I927">
        <v>9167.44</v>
      </c>
      <c r="J927">
        <v>9167.44</v>
      </c>
      <c r="K927">
        <v>2702.83</v>
      </c>
    </row>
    <row r="928" spans="1:11" x14ac:dyDescent="0.3">
      <c r="A928" t="s">
        <v>965</v>
      </c>
      <c r="B928" s="1">
        <v>45870</v>
      </c>
      <c r="C928" t="s">
        <v>117</v>
      </c>
      <c r="D928" t="s">
        <v>63</v>
      </c>
      <c r="E928" t="s">
        <v>33</v>
      </c>
      <c r="F928" t="s">
        <v>15</v>
      </c>
      <c r="G928" t="s">
        <v>30</v>
      </c>
      <c r="H928">
        <v>1</v>
      </c>
      <c r="I928">
        <v>86.02</v>
      </c>
      <c r="J928">
        <v>86.02</v>
      </c>
      <c r="K928">
        <v>11.56</v>
      </c>
    </row>
    <row r="929" spans="1:11" x14ac:dyDescent="0.3">
      <c r="A929" t="s">
        <v>966</v>
      </c>
      <c r="B929" s="1">
        <v>45669</v>
      </c>
      <c r="C929" t="s">
        <v>50</v>
      </c>
      <c r="D929" t="s">
        <v>39</v>
      </c>
      <c r="E929" t="s">
        <v>27</v>
      </c>
      <c r="F929" t="s">
        <v>15</v>
      </c>
      <c r="G929" t="s">
        <v>24</v>
      </c>
      <c r="H929">
        <v>2</v>
      </c>
      <c r="I929">
        <v>358.86</v>
      </c>
      <c r="J929">
        <v>717.72</v>
      </c>
      <c r="K929">
        <v>103.51</v>
      </c>
    </row>
    <row r="930" spans="1:11" x14ac:dyDescent="0.3">
      <c r="A930" t="s">
        <v>967</v>
      </c>
      <c r="B930" s="1">
        <v>46017</v>
      </c>
      <c r="C930" t="s">
        <v>26</v>
      </c>
      <c r="D930" t="s">
        <v>13</v>
      </c>
      <c r="E930" t="s">
        <v>22</v>
      </c>
      <c r="F930" t="s">
        <v>15</v>
      </c>
      <c r="G930" t="s">
        <v>24</v>
      </c>
      <c r="H930">
        <v>1</v>
      </c>
      <c r="I930">
        <v>1842.48</v>
      </c>
      <c r="J930">
        <v>1842.48</v>
      </c>
      <c r="K930">
        <v>412.53</v>
      </c>
    </row>
    <row r="931" spans="1:11" x14ac:dyDescent="0.3">
      <c r="A931" t="s">
        <v>968</v>
      </c>
      <c r="B931" s="1">
        <v>45745</v>
      </c>
      <c r="C931" t="s">
        <v>29</v>
      </c>
      <c r="D931" t="s">
        <v>13</v>
      </c>
      <c r="E931" t="s">
        <v>27</v>
      </c>
      <c r="F931" t="s">
        <v>23</v>
      </c>
      <c r="G931" t="s">
        <v>30</v>
      </c>
      <c r="H931">
        <v>1</v>
      </c>
      <c r="I931">
        <v>12524.6</v>
      </c>
      <c r="J931">
        <v>12524.6</v>
      </c>
      <c r="K931">
        <v>3342.3</v>
      </c>
    </row>
    <row r="932" spans="1:11" x14ac:dyDescent="0.3">
      <c r="A932" t="s">
        <v>969</v>
      </c>
      <c r="B932" s="1">
        <v>45772</v>
      </c>
      <c r="C932" t="s">
        <v>57</v>
      </c>
      <c r="D932" t="s">
        <v>13</v>
      </c>
      <c r="E932" t="s">
        <v>43</v>
      </c>
      <c r="F932" t="s">
        <v>23</v>
      </c>
      <c r="G932" t="s">
        <v>36</v>
      </c>
      <c r="H932">
        <v>1</v>
      </c>
      <c r="I932">
        <v>544.61</v>
      </c>
      <c r="J932">
        <v>544.61</v>
      </c>
      <c r="K932">
        <v>91.77</v>
      </c>
    </row>
    <row r="933" spans="1:11" x14ac:dyDescent="0.3">
      <c r="A933" t="s">
        <v>970</v>
      </c>
      <c r="B933" s="1">
        <v>45853</v>
      </c>
      <c r="C933" t="s">
        <v>26</v>
      </c>
      <c r="D933" t="s">
        <v>13</v>
      </c>
      <c r="E933" t="s">
        <v>43</v>
      </c>
      <c r="F933" t="s">
        <v>15</v>
      </c>
      <c r="G933" t="s">
        <v>36</v>
      </c>
      <c r="H933">
        <v>2</v>
      </c>
      <c r="I933">
        <v>1694.38</v>
      </c>
      <c r="J933">
        <v>3388.76</v>
      </c>
      <c r="K933">
        <v>1097.8</v>
      </c>
    </row>
    <row r="934" spans="1:11" x14ac:dyDescent="0.3">
      <c r="A934" t="s">
        <v>971</v>
      </c>
      <c r="B934" s="1">
        <v>45750</v>
      </c>
      <c r="C934" t="s">
        <v>62</v>
      </c>
      <c r="D934" t="s">
        <v>63</v>
      </c>
      <c r="E934" t="s">
        <v>22</v>
      </c>
      <c r="F934" t="s">
        <v>23</v>
      </c>
      <c r="G934" t="s">
        <v>51</v>
      </c>
      <c r="H934">
        <v>3</v>
      </c>
      <c r="I934">
        <v>108.69</v>
      </c>
      <c r="J934">
        <v>326.07</v>
      </c>
      <c r="K934">
        <v>41.15</v>
      </c>
    </row>
    <row r="935" spans="1:11" x14ac:dyDescent="0.3">
      <c r="A935" t="s">
        <v>972</v>
      </c>
      <c r="B935" s="1">
        <v>45847</v>
      </c>
      <c r="C935" t="s">
        <v>29</v>
      </c>
      <c r="D935" t="s">
        <v>13</v>
      </c>
      <c r="E935" t="s">
        <v>22</v>
      </c>
      <c r="F935" t="s">
        <v>23</v>
      </c>
      <c r="G935" t="s">
        <v>36</v>
      </c>
      <c r="H935">
        <v>2</v>
      </c>
      <c r="I935">
        <v>11899.59</v>
      </c>
      <c r="J935">
        <v>23799.18</v>
      </c>
      <c r="K935">
        <v>8979.83</v>
      </c>
    </row>
    <row r="936" spans="1:11" x14ac:dyDescent="0.3">
      <c r="A936" t="s">
        <v>973</v>
      </c>
      <c r="B936" s="1">
        <v>46009</v>
      </c>
      <c r="C936" t="s">
        <v>20</v>
      </c>
      <c r="D936" t="s">
        <v>21</v>
      </c>
      <c r="E936" t="s">
        <v>43</v>
      </c>
      <c r="F936" t="s">
        <v>15</v>
      </c>
      <c r="G936" t="s">
        <v>30</v>
      </c>
      <c r="H936">
        <v>3</v>
      </c>
      <c r="I936">
        <v>6770.99</v>
      </c>
      <c r="J936">
        <v>20312.97</v>
      </c>
      <c r="K936">
        <v>3831.29</v>
      </c>
    </row>
    <row r="937" spans="1:11" x14ac:dyDescent="0.3">
      <c r="A937" t="s">
        <v>974</v>
      </c>
      <c r="B937" s="1">
        <v>45943</v>
      </c>
      <c r="C937" t="s">
        <v>18</v>
      </c>
      <c r="D937" t="s">
        <v>13</v>
      </c>
      <c r="E937" t="s">
        <v>43</v>
      </c>
      <c r="F937" t="s">
        <v>15</v>
      </c>
      <c r="G937" t="s">
        <v>30</v>
      </c>
      <c r="H937">
        <v>1</v>
      </c>
      <c r="I937">
        <v>45620.94</v>
      </c>
      <c r="J937">
        <v>45620.94</v>
      </c>
      <c r="K937">
        <v>11750.02</v>
      </c>
    </row>
    <row r="938" spans="1:11" x14ac:dyDescent="0.3">
      <c r="A938" t="s">
        <v>975</v>
      </c>
      <c r="B938" s="1">
        <v>45787</v>
      </c>
      <c r="C938" t="s">
        <v>50</v>
      </c>
      <c r="D938" t="s">
        <v>39</v>
      </c>
      <c r="E938" t="s">
        <v>43</v>
      </c>
      <c r="F938" t="s">
        <v>15</v>
      </c>
      <c r="G938" t="s">
        <v>16</v>
      </c>
      <c r="H938">
        <v>2</v>
      </c>
      <c r="I938">
        <v>336.18</v>
      </c>
      <c r="J938">
        <v>672.36</v>
      </c>
      <c r="K938">
        <v>186.5</v>
      </c>
    </row>
    <row r="939" spans="1:11" x14ac:dyDescent="0.3">
      <c r="A939" t="s">
        <v>976</v>
      </c>
      <c r="B939" s="1">
        <v>45679</v>
      </c>
      <c r="C939" t="s">
        <v>29</v>
      </c>
      <c r="D939" t="s">
        <v>13</v>
      </c>
      <c r="E939" t="s">
        <v>43</v>
      </c>
      <c r="F939" t="s">
        <v>23</v>
      </c>
      <c r="G939" t="s">
        <v>51</v>
      </c>
      <c r="H939">
        <v>1</v>
      </c>
      <c r="I939">
        <v>11207.68</v>
      </c>
      <c r="J939">
        <v>11207.68</v>
      </c>
      <c r="K939">
        <v>2822.78</v>
      </c>
    </row>
    <row r="940" spans="1:11" x14ac:dyDescent="0.3">
      <c r="A940" t="s">
        <v>977</v>
      </c>
      <c r="B940" s="1">
        <v>45703</v>
      </c>
      <c r="C940" t="s">
        <v>117</v>
      </c>
      <c r="D940" t="s">
        <v>63</v>
      </c>
      <c r="E940" t="s">
        <v>43</v>
      </c>
      <c r="F940" t="s">
        <v>15</v>
      </c>
      <c r="G940" t="s">
        <v>51</v>
      </c>
      <c r="H940">
        <v>3</v>
      </c>
      <c r="I940">
        <v>78.930000000000007</v>
      </c>
      <c r="J940">
        <v>236.79</v>
      </c>
      <c r="K940">
        <v>73.95</v>
      </c>
    </row>
    <row r="941" spans="1:11" x14ac:dyDescent="0.3">
      <c r="A941" t="s">
        <v>978</v>
      </c>
      <c r="B941" s="1">
        <v>45913</v>
      </c>
      <c r="C941" t="s">
        <v>32</v>
      </c>
      <c r="D941" t="s">
        <v>21</v>
      </c>
      <c r="E941" t="s">
        <v>43</v>
      </c>
      <c r="F941" t="s">
        <v>23</v>
      </c>
      <c r="G941" t="s">
        <v>16</v>
      </c>
      <c r="H941">
        <v>3</v>
      </c>
      <c r="I941">
        <v>9767.23</v>
      </c>
      <c r="J941">
        <v>29301.69</v>
      </c>
      <c r="K941">
        <v>8979.19</v>
      </c>
    </row>
    <row r="942" spans="1:11" x14ac:dyDescent="0.3">
      <c r="A942" t="s">
        <v>979</v>
      </c>
      <c r="B942" s="1">
        <v>45818</v>
      </c>
      <c r="C942" t="s">
        <v>62</v>
      </c>
      <c r="D942" t="s">
        <v>63</v>
      </c>
      <c r="E942" t="s">
        <v>22</v>
      </c>
      <c r="F942" t="s">
        <v>23</v>
      </c>
      <c r="G942" t="s">
        <v>30</v>
      </c>
      <c r="H942">
        <v>4</v>
      </c>
      <c r="I942">
        <v>115.57</v>
      </c>
      <c r="J942">
        <v>462.28</v>
      </c>
      <c r="K942">
        <v>56.13</v>
      </c>
    </row>
    <row r="943" spans="1:11" x14ac:dyDescent="0.3">
      <c r="A943" t="s">
        <v>980</v>
      </c>
      <c r="B943" s="1">
        <v>45754</v>
      </c>
      <c r="C943" t="s">
        <v>26</v>
      </c>
      <c r="D943" t="s">
        <v>13</v>
      </c>
      <c r="E943" t="s">
        <v>22</v>
      </c>
      <c r="F943" t="s">
        <v>23</v>
      </c>
      <c r="G943" t="s">
        <v>36</v>
      </c>
      <c r="H943">
        <v>1</v>
      </c>
      <c r="I943">
        <v>1685.93</v>
      </c>
      <c r="J943">
        <v>1685.93</v>
      </c>
      <c r="K943">
        <v>434.52</v>
      </c>
    </row>
    <row r="944" spans="1:11" x14ac:dyDescent="0.3">
      <c r="A944" t="s">
        <v>981</v>
      </c>
      <c r="B944" s="1">
        <v>45717</v>
      </c>
      <c r="C944" t="s">
        <v>38</v>
      </c>
      <c r="D944" t="s">
        <v>39</v>
      </c>
      <c r="E944" t="s">
        <v>27</v>
      </c>
      <c r="F944" t="s">
        <v>23</v>
      </c>
      <c r="G944" t="s">
        <v>36</v>
      </c>
      <c r="H944">
        <v>1</v>
      </c>
      <c r="I944">
        <v>1165.56</v>
      </c>
      <c r="J944">
        <v>1165.56</v>
      </c>
      <c r="K944">
        <v>228.04</v>
      </c>
    </row>
    <row r="945" spans="1:11" x14ac:dyDescent="0.3">
      <c r="A945" t="s">
        <v>982</v>
      </c>
      <c r="B945" s="1">
        <v>45715</v>
      </c>
      <c r="C945" t="s">
        <v>57</v>
      </c>
      <c r="D945" t="s">
        <v>13</v>
      </c>
      <c r="E945" t="s">
        <v>43</v>
      </c>
      <c r="F945" t="s">
        <v>15</v>
      </c>
      <c r="G945" t="s">
        <v>51</v>
      </c>
      <c r="H945">
        <v>4</v>
      </c>
      <c r="I945">
        <v>462.37</v>
      </c>
      <c r="J945">
        <v>1849.48</v>
      </c>
      <c r="K945">
        <v>657.8</v>
      </c>
    </row>
    <row r="946" spans="1:11" x14ac:dyDescent="0.3">
      <c r="A946" t="s">
        <v>983</v>
      </c>
      <c r="B946" s="1">
        <v>45918</v>
      </c>
      <c r="C946" t="s">
        <v>32</v>
      </c>
      <c r="D946" t="s">
        <v>21</v>
      </c>
      <c r="E946" t="s">
        <v>14</v>
      </c>
      <c r="F946" t="s">
        <v>15</v>
      </c>
      <c r="G946" t="s">
        <v>36</v>
      </c>
      <c r="H946">
        <v>2</v>
      </c>
      <c r="I946">
        <v>9293.65</v>
      </c>
      <c r="J946">
        <v>18587.3</v>
      </c>
      <c r="K946">
        <v>6036.73</v>
      </c>
    </row>
    <row r="947" spans="1:11" x14ac:dyDescent="0.3">
      <c r="A947" t="s">
        <v>984</v>
      </c>
      <c r="B947" s="1">
        <v>45697</v>
      </c>
      <c r="C947" t="s">
        <v>20</v>
      </c>
      <c r="D947" t="s">
        <v>21</v>
      </c>
      <c r="E947" t="s">
        <v>14</v>
      </c>
      <c r="F947" t="s">
        <v>23</v>
      </c>
      <c r="G947" t="s">
        <v>30</v>
      </c>
      <c r="H947">
        <v>3</v>
      </c>
      <c r="I947">
        <v>6729.98</v>
      </c>
      <c r="J947">
        <v>20189.939999999999</v>
      </c>
      <c r="K947">
        <v>3014.04</v>
      </c>
    </row>
    <row r="948" spans="1:11" x14ac:dyDescent="0.3">
      <c r="A948" t="s">
        <v>985</v>
      </c>
      <c r="B948" s="1">
        <v>45859</v>
      </c>
      <c r="C948" t="s">
        <v>117</v>
      </c>
      <c r="D948" t="s">
        <v>63</v>
      </c>
      <c r="E948" t="s">
        <v>22</v>
      </c>
      <c r="F948" t="s">
        <v>15</v>
      </c>
      <c r="G948" t="s">
        <v>30</v>
      </c>
      <c r="H948">
        <v>2</v>
      </c>
      <c r="I948">
        <v>87.22</v>
      </c>
      <c r="J948">
        <v>174.44</v>
      </c>
      <c r="K948">
        <v>28.33</v>
      </c>
    </row>
    <row r="949" spans="1:11" x14ac:dyDescent="0.3">
      <c r="A949" t="s">
        <v>986</v>
      </c>
      <c r="B949" s="1">
        <v>45893</v>
      </c>
      <c r="C949" t="s">
        <v>57</v>
      </c>
      <c r="D949" t="s">
        <v>13</v>
      </c>
      <c r="E949" t="s">
        <v>33</v>
      </c>
      <c r="F949" t="s">
        <v>15</v>
      </c>
      <c r="G949" t="s">
        <v>24</v>
      </c>
      <c r="H949">
        <v>2</v>
      </c>
      <c r="I949">
        <v>495.41</v>
      </c>
      <c r="J949">
        <v>990.82</v>
      </c>
      <c r="K949">
        <v>130.44</v>
      </c>
    </row>
    <row r="950" spans="1:11" x14ac:dyDescent="0.3">
      <c r="A950" t="s">
        <v>987</v>
      </c>
      <c r="B950" s="1">
        <v>45680</v>
      </c>
      <c r="C950" t="s">
        <v>35</v>
      </c>
      <c r="D950" t="s">
        <v>13</v>
      </c>
      <c r="E950" t="s">
        <v>33</v>
      </c>
      <c r="F950" t="s">
        <v>15</v>
      </c>
      <c r="G950" t="s">
        <v>51</v>
      </c>
      <c r="H950">
        <v>2</v>
      </c>
      <c r="I950">
        <v>891.56</v>
      </c>
      <c r="J950">
        <v>1783.12</v>
      </c>
      <c r="K950">
        <v>238.35</v>
      </c>
    </row>
    <row r="951" spans="1:11" x14ac:dyDescent="0.3">
      <c r="A951" t="s">
        <v>988</v>
      </c>
      <c r="B951" s="1">
        <v>45682</v>
      </c>
      <c r="C951" t="s">
        <v>35</v>
      </c>
      <c r="D951" t="s">
        <v>13</v>
      </c>
      <c r="E951" t="s">
        <v>33</v>
      </c>
      <c r="F951" t="s">
        <v>23</v>
      </c>
      <c r="G951" t="s">
        <v>30</v>
      </c>
      <c r="H951">
        <v>1</v>
      </c>
      <c r="I951">
        <v>953.67</v>
      </c>
      <c r="J951">
        <v>953.67</v>
      </c>
      <c r="K951">
        <v>177.97</v>
      </c>
    </row>
    <row r="952" spans="1:11" x14ac:dyDescent="0.3">
      <c r="A952" t="s">
        <v>989</v>
      </c>
      <c r="B952" s="1">
        <v>45862</v>
      </c>
      <c r="C952" t="s">
        <v>32</v>
      </c>
      <c r="D952" t="s">
        <v>21</v>
      </c>
      <c r="E952" t="s">
        <v>14</v>
      </c>
      <c r="F952" t="s">
        <v>15</v>
      </c>
      <c r="G952" t="s">
        <v>51</v>
      </c>
      <c r="H952">
        <v>1</v>
      </c>
      <c r="I952">
        <v>9837.09</v>
      </c>
      <c r="J952">
        <v>9837.09</v>
      </c>
      <c r="K952">
        <v>1524.41</v>
      </c>
    </row>
    <row r="953" spans="1:11" x14ac:dyDescent="0.3">
      <c r="A953" t="s">
        <v>990</v>
      </c>
      <c r="B953" s="1">
        <v>45741</v>
      </c>
      <c r="C953" t="s">
        <v>62</v>
      </c>
      <c r="D953" t="s">
        <v>63</v>
      </c>
      <c r="E953" t="s">
        <v>22</v>
      </c>
      <c r="F953" t="s">
        <v>15</v>
      </c>
      <c r="G953" t="s">
        <v>24</v>
      </c>
      <c r="H953">
        <v>3</v>
      </c>
      <c r="I953">
        <v>114.84</v>
      </c>
      <c r="J953">
        <v>344.52</v>
      </c>
      <c r="K953">
        <v>63.51</v>
      </c>
    </row>
    <row r="954" spans="1:11" x14ac:dyDescent="0.3">
      <c r="A954" t="s">
        <v>991</v>
      </c>
      <c r="B954" s="1">
        <v>45909</v>
      </c>
      <c r="C954" t="s">
        <v>62</v>
      </c>
      <c r="D954" t="s">
        <v>63</v>
      </c>
      <c r="E954" t="s">
        <v>33</v>
      </c>
      <c r="F954" t="s">
        <v>15</v>
      </c>
      <c r="G954" t="s">
        <v>24</v>
      </c>
      <c r="H954">
        <v>3</v>
      </c>
      <c r="I954">
        <v>130.12</v>
      </c>
      <c r="J954">
        <v>390.36</v>
      </c>
      <c r="K954">
        <v>56.61</v>
      </c>
    </row>
    <row r="955" spans="1:11" x14ac:dyDescent="0.3">
      <c r="A955" t="s">
        <v>992</v>
      </c>
      <c r="B955" s="1">
        <v>45998</v>
      </c>
      <c r="C955" t="s">
        <v>12</v>
      </c>
      <c r="D955" t="s">
        <v>13</v>
      </c>
      <c r="E955" t="s">
        <v>27</v>
      </c>
      <c r="F955" t="s">
        <v>23</v>
      </c>
      <c r="G955" t="s">
        <v>24</v>
      </c>
      <c r="H955">
        <v>3</v>
      </c>
      <c r="I955">
        <v>18045.55</v>
      </c>
      <c r="J955">
        <v>54136.65</v>
      </c>
      <c r="K955">
        <v>13680.22</v>
      </c>
    </row>
    <row r="956" spans="1:11" x14ac:dyDescent="0.3">
      <c r="A956" t="s">
        <v>993</v>
      </c>
      <c r="B956" s="1">
        <v>45946</v>
      </c>
      <c r="C956" t="s">
        <v>29</v>
      </c>
      <c r="D956" t="s">
        <v>13</v>
      </c>
      <c r="E956" t="s">
        <v>33</v>
      </c>
      <c r="F956" t="s">
        <v>15</v>
      </c>
      <c r="G956" t="s">
        <v>36</v>
      </c>
      <c r="H956">
        <v>2</v>
      </c>
      <c r="I956">
        <v>12615.58</v>
      </c>
      <c r="J956">
        <v>25231.16</v>
      </c>
      <c r="K956">
        <v>4267.6400000000003</v>
      </c>
    </row>
    <row r="957" spans="1:11" x14ac:dyDescent="0.3">
      <c r="A957" t="s">
        <v>994</v>
      </c>
      <c r="B957" s="1">
        <v>45980</v>
      </c>
      <c r="C957" t="s">
        <v>62</v>
      </c>
      <c r="D957" t="s">
        <v>63</v>
      </c>
      <c r="E957" t="s">
        <v>22</v>
      </c>
      <c r="F957" t="s">
        <v>15</v>
      </c>
      <c r="G957" t="s">
        <v>36</v>
      </c>
      <c r="H957">
        <v>1</v>
      </c>
      <c r="I957">
        <v>120.32</v>
      </c>
      <c r="J957">
        <v>120.32</v>
      </c>
      <c r="K957">
        <v>15.27</v>
      </c>
    </row>
    <row r="958" spans="1:11" x14ac:dyDescent="0.3">
      <c r="A958" t="s">
        <v>995</v>
      </c>
      <c r="B958" s="1">
        <v>45927</v>
      </c>
      <c r="C958" t="s">
        <v>35</v>
      </c>
      <c r="D958" t="s">
        <v>13</v>
      </c>
      <c r="E958" t="s">
        <v>14</v>
      </c>
      <c r="F958" t="s">
        <v>23</v>
      </c>
      <c r="G958" t="s">
        <v>24</v>
      </c>
      <c r="H958">
        <v>2</v>
      </c>
      <c r="I958">
        <v>825.11</v>
      </c>
      <c r="J958">
        <v>1650.22</v>
      </c>
      <c r="K958">
        <v>426.19</v>
      </c>
    </row>
    <row r="959" spans="1:11" x14ac:dyDescent="0.3">
      <c r="A959" t="s">
        <v>996</v>
      </c>
      <c r="B959" s="1">
        <v>45734</v>
      </c>
      <c r="C959" t="s">
        <v>26</v>
      </c>
      <c r="D959" t="s">
        <v>13</v>
      </c>
      <c r="E959" t="s">
        <v>27</v>
      </c>
      <c r="F959" t="s">
        <v>23</v>
      </c>
      <c r="G959" t="s">
        <v>16</v>
      </c>
      <c r="H959">
        <v>2</v>
      </c>
      <c r="I959">
        <v>1728.15</v>
      </c>
      <c r="J959">
        <v>3456.3</v>
      </c>
      <c r="K959">
        <v>1089.94</v>
      </c>
    </row>
    <row r="960" spans="1:11" x14ac:dyDescent="0.3">
      <c r="A960" t="s">
        <v>997</v>
      </c>
      <c r="B960" s="1">
        <v>45682</v>
      </c>
      <c r="C960" t="s">
        <v>50</v>
      </c>
      <c r="D960" t="s">
        <v>39</v>
      </c>
      <c r="E960" t="s">
        <v>27</v>
      </c>
      <c r="F960" t="s">
        <v>23</v>
      </c>
      <c r="G960" t="s">
        <v>30</v>
      </c>
      <c r="H960">
        <v>1</v>
      </c>
      <c r="I960">
        <v>318.16000000000003</v>
      </c>
      <c r="J960">
        <v>318.16000000000003</v>
      </c>
      <c r="K960">
        <v>112</v>
      </c>
    </row>
    <row r="961" spans="1:11" x14ac:dyDescent="0.3">
      <c r="A961" t="s">
        <v>998</v>
      </c>
      <c r="B961" s="1">
        <v>45895</v>
      </c>
      <c r="C961" t="s">
        <v>35</v>
      </c>
      <c r="D961" t="s">
        <v>13</v>
      </c>
      <c r="E961" t="s">
        <v>33</v>
      </c>
      <c r="F961" t="s">
        <v>15</v>
      </c>
      <c r="G961" t="s">
        <v>16</v>
      </c>
      <c r="H961">
        <v>3</v>
      </c>
      <c r="I961">
        <v>956.31</v>
      </c>
      <c r="J961">
        <v>2868.93</v>
      </c>
      <c r="K961">
        <v>825.05</v>
      </c>
    </row>
    <row r="962" spans="1:11" x14ac:dyDescent="0.3">
      <c r="A962" t="s">
        <v>999</v>
      </c>
      <c r="B962" s="1">
        <v>45666</v>
      </c>
      <c r="C962" t="s">
        <v>12</v>
      </c>
      <c r="D962" t="s">
        <v>13</v>
      </c>
      <c r="E962" t="s">
        <v>27</v>
      </c>
      <c r="F962" t="s">
        <v>15</v>
      </c>
      <c r="G962" t="s">
        <v>30</v>
      </c>
      <c r="H962">
        <v>3</v>
      </c>
      <c r="I962">
        <v>17866.36</v>
      </c>
      <c r="J962">
        <v>53599.08</v>
      </c>
      <c r="K962">
        <v>9411.67</v>
      </c>
    </row>
    <row r="963" spans="1:11" x14ac:dyDescent="0.3">
      <c r="A963" t="s">
        <v>1000</v>
      </c>
      <c r="B963" s="1">
        <v>45871</v>
      </c>
      <c r="C963" t="s">
        <v>57</v>
      </c>
      <c r="D963" t="s">
        <v>13</v>
      </c>
      <c r="E963" t="s">
        <v>27</v>
      </c>
      <c r="F963" t="s">
        <v>23</v>
      </c>
      <c r="G963" t="s">
        <v>24</v>
      </c>
      <c r="H963">
        <v>1</v>
      </c>
      <c r="I963">
        <v>508.72</v>
      </c>
      <c r="J963">
        <v>508.72</v>
      </c>
      <c r="K963">
        <v>133.13</v>
      </c>
    </row>
    <row r="964" spans="1:11" x14ac:dyDescent="0.3">
      <c r="A964" t="s">
        <v>1001</v>
      </c>
      <c r="B964" s="1">
        <v>45753</v>
      </c>
      <c r="C964" t="s">
        <v>20</v>
      </c>
      <c r="D964" t="s">
        <v>21</v>
      </c>
      <c r="E964" t="s">
        <v>14</v>
      </c>
      <c r="F964" t="s">
        <v>23</v>
      </c>
      <c r="G964" t="s">
        <v>16</v>
      </c>
      <c r="H964">
        <v>1</v>
      </c>
      <c r="I964">
        <v>6821.14</v>
      </c>
      <c r="J964">
        <v>6821.14</v>
      </c>
      <c r="K964">
        <v>1520.75</v>
      </c>
    </row>
    <row r="965" spans="1:11" x14ac:dyDescent="0.3">
      <c r="A965" t="s">
        <v>1002</v>
      </c>
      <c r="B965" s="1">
        <v>45667</v>
      </c>
      <c r="C965" t="s">
        <v>18</v>
      </c>
      <c r="D965" t="s">
        <v>13</v>
      </c>
      <c r="E965" t="s">
        <v>27</v>
      </c>
      <c r="F965" t="s">
        <v>23</v>
      </c>
      <c r="G965" t="s">
        <v>16</v>
      </c>
      <c r="H965">
        <v>1</v>
      </c>
      <c r="I965">
        <v>37911.760000000002</v>
      </c>
      <c r="J965">
        <v>37911.760000000002</v>
      </c>
      <c r="K965">
        <v>7942.2</v>
      </c>
    </row>
    <row r="966" spans="1:11" x14ac:dyDescent="0.3">
      <c r="A966" t="s">
        <v>1003</v>
      </c>
      <c r="B966" s="1">
        <v>45907</v>
      </c>
      <c r="C966" t="s">
        <v>32</v>
      </c>
      <c r="D966" t="s">
        <v>21</v>
      </c>
      <c r="E966" t="s">
        <v>27</v>
      </c>
      <c r="F966" t="s">
        <v>23</v>
      </c>
      <c r="G966" t="s">
        <v>30</v>
      </c>
      <c r="H966">
        <v>2</v>
      </c>
      <c r="I966">
        <v>9853.06</v>
      </c>
      <c r="J966">
        <v>19706.12</v>
      </c>
      <c r="K966">
        <v>5640.1</v>
      </c>
    </row>
    <row r="967" spans="1:11" x14ac:dyDescent="0.3">
      <c r="A967" t="s">
        <v>1004</v>
      </c>
      <c r="B967" s="1">
        <v>45722</v>
      </c>
      <c r="C967" t="s">
        <v>26</v>
      </c>
      <c r="D967" t="s">
        <v>13</v>
      </c>
      <c r="E967" t="s">
        <v>22</v>
      </c>
      <c r="F967" t="s">
        <v>15</v>
      </c>
      <c r="G967" t="s">
        <v>51</v>
      </c>
      <c r="H967">
        <v>1</v>
      </c>
      <c r="I967">
        <v>1660.29</v>
      </c>
      <c r="J967">
        <v>1660.29</v>
      </c>
      <c r="K967">
        <v>624.04999999999995</v>
      </c>
    </row>
    <row r="968" spans="1:11" x14ac:dyDescent="0.3">
      <c r="A968" t="s">
        <v>1005</v>
      </c>
      <c r="B968" s="1">
        <v>45904</v>
      </c>
      <c r="C968" t="s">
        <v>35</v>
      </c>
      <c r="D968" t="s">
        <v>13</v>
      </c>
      <c r="E968" t="s">
        <v>33</v>
      </c>
      <c r="F968" t="s">
        <v>15</v>
      </c>
      <c r="G968" t="s">
        <v>30</v>
      </c>
      <c r="H968">
        <v>1</v>
      </c>
      <c r="I968">
        <v>853.52</v>
      </c>
      <c r="J968">
        <v>853.52</v>
      </c>
      <c r="K968">
        <v>137.47</v>
      </c>
    </row>
    <row r="969" spans="1:11" x14ac:dyDescent="0.3">
      <c r="A969" t="s">
        <v>1006</v>
      </c>
      <c r="B969" s="1">
        <v>45812</v>
      </c>
      <c r="C969" t="s">
        <v>38</v>
      </c>
      <c r="D969" t="s">
        <v>39</v>
      </c>
      <c r="E969" t="s">
        <v>22</v>
      </c>
      <c r="F969" t="s">
        <v>23</v>
      </c>
      <c r="G969" t="s">
        <v>36</v>
      </c>
      <c r="H969">
        <v>1</v>
      </c>
      <c r="I969">
        <v>1181.25</v>
      </c>
      <c r="J969">
        <v>1181.25</v>
      </c>
      <c r="K969">
        <v>413.11</v>
      </c>
    </row>
    <row r="970" spans="1:11" x14ac:dyDescent="0.3">
      <c r="A970" t="s">
        <v>1007</v>
      </c>
      <c r="B970" s="1">
        <v>45899</v>
      </c>
      <c r="C970" t="s">
        <v>18</v>
      </c>
      <c r="D970" t="s">
        <v>13</v>
      </c>
      <c r="E970" t="s">
        <v>33</v>
      </c>
      <c r="F970" t="s">
        <v>23</v>
      </c>
      <c r="G970" t="s">
        <v>30</v>
      </c>
      <c r="H970">
        <v>3</v>
      </c>
      <c r="I970">
        <v>42715.9</v>
      </c>
      <c r="J970">
        <v>128147.7</v>
      </c>
      <c r="K970">
        <v>41987.85</v>
      </c>
    </row>
    <row r="971" spans="1:11" x14ac:dyDescent="0.3">
      <c r="A971" t="s">
        <v>1008</v>
      </c>
      <c r="B971" s="1">
        <v>45828</v>
      </c>
      <c r="C971" t="s">
        <v>18</v>
      </c>
      <c r="D971" t="s">
        <v>13</v>
      </c>
      <c r="E971" t="s">
        <v>27</v>
      </c>
      <c r="F971" t="s">
        <v>23</v>
      </c>
      <c r="G971" t="s">
        <v>16</v>
      </c>
      <c r="H971">
        <v>1</v>
      </c>
      <c r="I971">
        <v>44920.09</v>
      </c>
      <c r="J971">
        <v>44920.09</v>
      </c>
      <c r="K971">
        <v>12026.69</v>
      </c>
    </row>
    <row r="972" spans="1:11" x14ac:dyDescent="0.3">
      <c r="A972" t="s">
        <v>1009</v>
      </c>
      <c r="B972" s="1">
        <v>45963</v>
      </c>
      <c r="C972" t="s">
        <v>57</v>
      </c>
      <c r="D972" t="s">
        <v>13</v>
      </c>
      <c r="E972" t="s">
        <v>27</v>
      </c>
      <c r="F972" t="s">
        <v>23</v>
      </c>
      <c r="G972" t="s">
        <v>51</v>
      </c>
      <c r="H972">
        <v>2</v>
      </c>
      <c r="I972">
        <v>479.08</v>
      </c>
      <c r="J972">
        <v>958.16</v>
      </c>
      <c r="K972">
        <v>242.65</v>
      </c>
    </row>
    <row r="973" spans="1:11" x14ac:dyDescent="0.3">
      <c r="A973" t="s">
        <v>1010</v>
      </c>
      <c r="B973" s="1">
        <v>45689</v>
      </c>
      <c r="C973" t="s">
        <v>50</v>
      </c>
      <c r="D973" t="s">
        <v>39</v>
      </c>
      <c r="E973" t="s">
        <v>43</v>
      </c>
      <c r="F973" t="s">
        <v>23</v>
      </c>
      <c r="G973" t="s">
        <v>36</v>
      </c>
      <c r="H973">
        <v>1</v>
      </c>
      <c r="I973">
        <v>355.35</v>
      </c>
      <c r="J973">
        <v>355.35</v>
      </c>
      <c r="K973">
        <v>83.92</v>
      </c>
    </row>
    <row r="974" spans="1:11" x14ac:dyDescent="0.3">
      <c r="A974" t="s">
        <v>1011</v>
      </c>
      <c r="B974" s="1">
        <v>45717</v>
      </c>
      <c r="C974" t="s">
        <v>38</v>
      </c>
      <c r="D974" t="s">
        <v>39</v>
      </c>
      <c r="E974" t="s">
        <v>27</v>
      </c>
      <c r="F974" t="s">
        <v>15</v>
      </c>
      <c r="G974" t="s">
        <v>51</v>
      </c>
      <c r="H974">
        <v>2</v>
      </c>
      <c r="I974">
        <v>1235.08</v>
      </c>
      <c r="J974">
        <v>2470.16</v>
      </c>
      <c r="K974">
        <v>650.73</v>
      </c>
    </row>
    <row r="975" spans="1:11" x14ac:dyDescent="0.3">
      <c r="A975" t="s">
        <v>1012</v>
      </c>
      <c r="B975" s="1">
        <v>45805</v>
      </c>
      <c r="C975" t="s">
        <v>57</v>
      </c>
      <c r="D975" t="s">
        <v>13</v>
      </c>
      <c r="E975" t="s">
        <v>22</v>
      </c>
      <c r="F975" t="s">
        <v>23</v>
      </c>
      <c r="G975" t="s">
        <v>16</v>
      </c>
      <c r="H975">
        <v>1</v>
      </c>
      <c r="I975">
        <v>484.38</v>
      </c>
      <c r="J975">
        <v>484.38</v>
      </c>
      <c r="K975">
        <v>154.83000000000001</v>
      </c>
    </row>
    <row r="976" spans="1:11" x14ac:dyDescent="0.3">
      <c r="A976" t="s">
        <v>1013</v>
      </c>
      <c r="B976" s="1">
        <v>45994</v>
      </c>
      <c r="C976" t="s">
        <v>38</v>
      </c>
      <c r="D976" t="s">
        <v>39</v>
      </c>
      <c r="E976" t="s">
        <v>27</v>
      </c>
      <c r="F976" t="s">
        <v>23</v>
      </c>
      <c r="G976" t="s">
        <v>36</v>
      </c>
      <c r="H976">
        <v>1</v>
      </c>
      <c r="I976">
        <v>1150.4100000000001</v>
      </c>
      <c r="J976">
        <v>1150.4100000000001</v>
      </c>
      <c r="K976">
        <v>224.38</v>
      </c>
    </row>
    <row r="977" spans="1:11" x14ac:dyDescent="0.3">
      <c r="A977" t="s">
        <v>1014</v>
      </c>
      <c r="B977" s="1">
        <v>45740</v>
      </c>
      <c r="C977" t="s">
        <v>29</v>
      </c>
      <c r="D977" t="s">
        <v>13</v>
      </c>
      <c r="E977" t="s">
        <v>27</v>
      </c>
      <c r="F977" t="s">
        <v>15</v>
      </c>
      <c r="G977" t="s">
        <v>51</v>
      </c>
      <c r="H977">
        <v>1</v>
      </c>
      <c r="I977">
        <v>12457.67</v>
      </c>
      <c r="J977">
        <v>12457.67</v>
      </c>
      <c r="K977">
        <v>4454.74</v>
      </c>
    </row>
    <row r="978" spans="1:11" x14ac:dyDescent="0.3">
      <c r="A978" t="s">
        <v>1015</v>
      </c>
      <c r="B978" s="1">
        <v>45760</v>
      </c>
      <c r="C978" t="s">
        <v>26</v>
      </c>
      <c r="D978" t="s">
        <v>13</v>
      </c>
      <c r="E978" t="s">
        <v>27</v>
      </c>
      <c r="F978" t="s">
        <v>23</v>
      </c>
      <c r="G978" t="s">
        <v>51</v>
      </c>
      <c r="H978">
        <v>2</v>
      </c>
      <c r="I978">
        <v>1656.33</v>
      </c>
      <c r="J978">
        <v>3312.66</v>
      </c>
      <c r="K978">
        <v>900.53</v>
      </c>
    </row>
    <row r="979" spans="1:11" x14ac:dyDescent="0.3">
      <c r="A979" t="s">
        <v>1016</v>
      </c>
      <c r="B979" s="1">
        <v>45765</v>
      </c>
      <c r="C979" t="s">
        <v>50</v>
      </c>
      <c r="D979" t="s">
        <v>39</v>
      </c>
      <c r="E979" t="s">
        <v>43</v>
      </c>
      <c r="F979" t="s">
        <v>15</v>
      </c>
      <c r="G979" t="s">
        <v>51</v>
      </c>
      <c r="H979">
        <v>1</v>
      </c>
      <c r="I979">
        <v>316.27</v>
      </c>
      <c r="J979">
        <v>316.27</v>
      </c>
      <c r="K979">
        <v>47.75</v>
      </c>
    </row>
    <row r="980" spans="1:11" x14ac:dyDescent="0.3">
      <c r="A980" t="s">
        <v>1017</v>
      </c>
      <c r="B980" s="1">
        <v>45915</v>
      </c>
      <c r="C980" t="s">
        <v>18</v>
      </c>
      <c r="D980" t="s">
        <v>13</v>
      </c>
      <c r="E980" t="s">
        <v>22</v>
      </c>
      <c r="F980" t="s">
        <v>15</v>
      </c>
      <c r="G980" t="s">
        <v>16</v>
      </c>
      <c r="H980">
        <v>3</v>
      </c>
      <c r="I980">
        <v>40636.97</v>
      </c>
      <c r="J980">
        <v>121910.91</v>
      </c>
      <c r="K980">
        <v>42713.68</v>
      </c>
    </row>
    <row r="981" spans="1:11" x14ac:dyDescent="0.3">
      <c r="A981" t="s">
        <v>1018</v>
      </c>
      <c r="B981" s="1">
        <v>45772</v>
      </c>
      <c r="C981" t="s">
        <v>38</v>
      </c>
      <c r="D981" t="s">
        <v>39</v>
      </c>
      <c r="E981" t="s">
        <v>14</v>
      </c>
      <c r="F981" t="s">
        <v>23</v>
      </c>
      <c r="G981" t="s">
        <v>51</v>
      </c>
      <c r="H981">
        <v>1</v>
      </c>
      <c r="I981">
        <v>1161.68</v>
      </c>
      <c r="J981">
        <v>1161.68</v>
      </c>
      <c r="K981">
        <v>334.14</v>
      </c>
    </row>
    <row r="982" spans="1:11" x14ac:dyDescent="0.3">
      <c r="A982" t="s">
        <v>1019</v>
      </c>
      <c r="B982" s="1">
        <v>46011</v>
      </c>
      <c r="C982" t="s">
        <v>50</v>
      </c>
      <c r="D982" t="s">
        <v>39</v>
      </c>
      <c r="E982" t="s">
        <v>27</v>
      </c>
      <c r="F982" t="s">
        <v>23</v>
      </c>
      <c r="G982" t="s">
        <v>30</v>
      </c>
      <c r="H982">
        <v>2</v>
      </c>
      <c r="I982">
        <v>322.29000000000002</v>
      </c>
      <c r="J982">
        <v>644.58000000000004</v>
      </c>
      <c r="K982">
        <v>236.49</v>
      </c>
    </row>
    <row r="983" spans="1:11" x14ac:dyDescent="0.3">
      <c r="A983" t="s">
        <v>1020</v>
      </c>
      <c r="B983" s="1">
        <v>45712</v>
      </c>
      <c r="C983" t="s">
        <v>29</v>
      </c>
      <c r="D983" t="s">
        <v>13</v>
      </c>
      <c r="E983" t="s">
        <v>33</v>
      </c>
      <c r="F983" t="s">
        <v>15</v>
      </c>
      <c r="G983" t="s">
        <v>16</v>
      </c>
      <c r="H983">
        <v>2</v>
      </c>
      <c r="I983">
        <v>12860.13</v>
      </c>
      <c r="J983">
        <v>25720.26</v>
      </c>
      <c r="K983">
        <v>9092.48</v>
      </c>
    </row>
    <row r="984" spans="1:11" x14ac:dyDescent="0.3">
      <c r="A984" t="s">
        <v>1021</v>
      </c>
      <c r="B984" s="1">
        <v>45711</v>
      </c>
      <c r="C984" t="s">
        <v>26</v>
      </c>
      <c r="D984" t="s">
        <v>13</v>
      </c>
      <c r="E984" t="s">
        <v>22</v>
      </c>
      <c r="F984" t="s">
        <v>23</v>
      </c>
      <c r="G984" t="s">
        <v>36</v>
      </c>
      <c r="H984">
        <v>2</v>
      </c>
      <c r="I984">
        <v>1933.51</v>
      </c>
      <c r="J984">
        <v>3867.02</v>
      </c>
      <c r="K984">
        <v>553.54</v>
      </c>
    </row>
    <row r="985" spans="1:11" x14ac:dyDescent="0.3">
      <c r="A985" t="s">
        <v>1022</v>
      </c>
      <c r="B985" s="1">
        <v>45917</v>
      </c>
      <c r="C985" t="s">
        <v>38</v>
      </c>
      <c r="D985" t="s">
        <v>39</v>
      </c>
      <c r="E985" t="s">
        <v>43</v>
      </c>
      <c r="F985" t="s">
        <v>15</v>
      </c>
      <c r="G985" t="s">
        <v>30</v>
      </c>
      <c r="H985">
        <v>3</v>
      </c>
      <c r="I985">
        <v>1103.83</v>
      </c>
      <c r="J985">
        <v>3311.49</v>
      </c>
      <c r="K985">
        <v>701.23</v>
      </c>
    </row>
    <row r="986" spans="1:11" x14ac:dyDescent="0.3">
      <c r="A986" t="s">
        <v>1023</v>
      </c>
      <c r="B986" s="1">
        <v>45761</v>
      </c>
      <c r="C986" t="s">
        <v>38</v>
      </c>
      <c r="D986" t="s">
        <v>39</v>
      </c>
      <c r="E986" t="s">
        <v>27</v>
      </c>
      <c r="F986" t="s">
        <v>23</v>
      </c>
      <c r="G986" t="s">
        <v>24</v>
      </c>
      <c r="H986">
        <v>5</v>
      </c>
      <c r="I986">
        <v>1264.6099999999999</v>
      </c>
      <c r="J986">
        <v>6323.05</v>
      </c>
      <c r="K986">
        <v>2391.9299999999998</v>
      </c>
    </row>
    <row r="987" spans="1:11" x14ac:dyDescent="0.3">
      <c r="A987" t="s">
        <v>1024</v>
      </c>
      <c r="B987" s="1">
        <v>45916</v>
      </c>
      <c r="C987" t="s">
        <v>26</v>
      </c>
      <c r="D987" t="s">
        <v>13</v>
      </c>
      <c r="E987" t="s">
        <v>43</v>
      </c>
      <c r="F987" t="s">
        <v>15</v>
      </c>
      <c r="G987" t="s">
        <v>51</v>
      </c>
      <c r="H987">
        <v>1</v>
      </c>
      <c r="I987">
        <v>1754.08</v>
      </c>
      <c r="J987">
        <v>1754.08</v>
      </c>
      <c r="K987">
        <v>322.3</v>
      </c>
    </row>
    <row r="988" spans="1:11" x14ac:dyDescent="0.3">
      <c r="A988" t="s">
        <v>1025</v>
      </c>
      <c r="B988" s="1">
        <v>45929</v>
      </c>
      <c r="C988" t="s">
        <v>62</v>
      </c>
      <c r="D988" t="s">
        <v>63</v>
      </c>
      <c r="E988" t="s">
        <v>27</v>
      </c>
      <c r="F988" t="s">
        <v>23</v>
      </c>
      <c r="G988" t="s">
        <v>16</v>
      </c>
      <c r="H988">
        <v>3</v>
      </c>
      <c r="I988">
        <v>111.31</v>
      </c>
      <c r="J988">
        <v>333.93</v>
      </c>
      <c r="K988">
        <v>89.66</v>
      </c>
    </row>
    <row r="989" spans="1:11" x14ac:dyDescent="0.3">
      <c r="A989" t="s">
        <v>1026</v>
      </c>
      <c r="B989" s="1">
        <v>46007</v>
      </c>
      <c r="C989" t="s">
        <v>117</v>
      </c>
      <c r="D989" t="s">
        <v>63</v>
      </c>
      <c r="E989" t="s">
        <v>33</v>
      </c>
      <c r="F989" t="s">
        <v>15</v>
      </c>
      <c r="G989" t="s">
        <v>30</v>
      </c>
      <c r="H989">
        <v>4</v>
      </c>
      <c r="I989">
        <v>79.08</v>
      </c>
      <c r="J989">
        <v>316.32</v>
      </c>
      <c r="K989">
        <v>56.86</v>
      </c>
    </row>
    <row r="990" spans="1:11" x14ac:dyDescent="0.3">
      <c r="A990" t="s">
        <v>1027</v>
      </c>
      <c r="B990" s="1">
        <v>45831</v>
      </c>
      <c r="C990" t="s">
        <v>117</v>
      </c>
      <c r="D990" t="s">
        <v>63</v>
      </c>
      <c r="E990" t="s">
        <v>27</v>
      </c>
      <c r="F990" t="s">
        <v>15</v>
      </c>
      <c r="G990" t="s">
        <v>51</v>
      </c>
      <c r="H990">
        <v>1</v>
      </c>
      <c r="I990">
        <v>84.36</v>
      </c>
      <c r="J990">
        <v>84.36</v>
      </c>
      <c r="K990">
        <v>22.54</v>
      </c>
    </row>
    <row r="991" spans="1:11" x14ac:dyDescent="0.3">
      <c r="A991" t="s">
        <v>1028</v>
      </c>
      <c r="B991" s="1">
        <v>45952</v>
      </c>
      <c r="C991" t="s">
        <v>18</v>
      </c>
      <c r="D991" t="s">
        <v>13</v>
      </c>
      <c r="E991" t="s">
        <v>33</v>
      </c>
      <c r="F991" t="s">
        <v>23</v>
      </c>
      <c r="G991" t="s">
        <v>36</v>
      </c>
      <c r="H991">
        <v>5</v>
      </c>
      <c r="I991">
        <v>46032.4</v>
      </c>
      <c r="J991">
        <v>230162</v>
      </c>
      <c r="K991">
        <v>39643.47</v>
      </c>
    </row>
    <row r="992" spans="1:11" x14ac:dyDescent="0.3">
      <c r="A992" t="s">
        <v>1029</v>
      </c>
      <c r="B992" s="1">
        <v>45863</v>
      </c>
      <c r="C992" t="s">
        <v>35</v>
      </c>
      <c r="D992" t="s">
        <v>13</v>
      </c>
      <c r="E992" t="s">
        <v>43</v>
      </c>
      <c r="F992" t="s">
        <v>23</v>
      </c>
      <c r="G992" t="s">
        <v>30</v>
      </c>
      <c r="H992">
        <v>3</v>
      </c>
      <c r="I992">
        <v>967.24</v>
      </c>
      <c r="J992">
        <v>2901.72</v>
      </c>
      <c r="K992">
        <v>558.28</v>
      </c>
    </row>
    <row r="993" spans="1:11" x14ac:dyDescent="0.3">
      <c r="A993" t="s">
        <v>1030</v>
      </c>
      <c r="B993" s="1">
        <v>45801</v>
      </c>
      <c r="C993" t="s">
        <v>50</v>
      </c>
      <c r="D993" t="s">
        <v>39</v>
      </c>
      <c r="E993" t="s">
        <v>22</v>
      </c>
      <c r="F993" t="s">
        <v>23</v>
      </c>
      <c r="G993" t="s">
        <v>24</v>
      </c>
      <c r="H993">
        <v>2</v>
      </c>
      <c r="I993">
        <v>325.27999999999997</v>
      </c>
      <c r="J993">
        <v>650.55999999999995</v>
      </c>
      <c r="K993">
        <v>178.89</v>
      </c>
    </row>
    <row r="994" spans="1:11" x14ac:dyDescent="0.3">
      <c r="A994" t="s">
        <v>1031</v>
      </c>
      <c r="B994" s="1">
        <v>45990</v>
      </c>
      <c r="C994" t="s">
        <v>62</v>
      </c>
      <c r="D994" t="s">
        <v>63</v>
      </c>
      <c r="E994" t="s">
        <v>33</v>
      </c>
      <c r="F994" t="s">
        <v>23</v>
      </c>
      <c r="G994" t="s">
        <v>36</v>
      </c>
      <c r="H994">
        <v>3</v>
      </c>
      <c r="I994">
        <v>129.13999999999999</v>
      </c>
      <c r="J994">
        <v>387.42</v>
      </c>
      <c r="K994">
        <v>138.72999999999999</v>
      </c>
    </row>
    <row r="995" spans="1:11" x14ac:dyDescent="0.3">
      <c r="A995" t="s">
        <v>1032</v>
      </c>
      <c r="B995" s="1">
        <v>45722</v>
      </c>
      <c r="C995" t="s">
        <v>50</v>
      </c>
      <c r="D995" t="s">
        <v>39</v>
      </c>
      <c r="E995" t="s">
        <v>33</v>
      </c>
      <c r="F995" t="s">
        <v>23</v>
      </c>
      <c r="G995" t="s">
        <v>16</v>
      </c>
      <c r="H995">
        <v>5</v>
      </c>
      <c r="I995">
        <v>334.87</v>
      </c>
      <c r="J995">
        <v>1674.35</v>
      </c>
      <c r="K995">
        <v>595.85</v>
      </c>
    </row>
    <row r="996" spans="1:11" x14ac:dyDescent="0.3">
      <c r="A996" t="s">
        <v>1033</v>
      </c>
      <c r="B996" s="1">
        <v>45832</v>
      </c>
      <c r="C996" t="s">
        <v>35</v>
      </c>
      <c r="D996" t="s">
        <v>13</v>
      </c>
      <c r="E996" t="s">
        <v>33</v>
      </c>
      <c r="F996" t="s">
        <v>23</v>
      </c>
      <c r="G996" t="s">
        <v>51</v>
      </c>
      <c r="H996">
        <v>1</v>
      </c>
      <c r="I996">
        <v>815.02</v>
      </c>
      <c r="J996">
        <v>815.02</v>
      </c>
      <c r="K996">
        <v>140.9</v>
      </c>
    </row>
    <row r="997" spans="1:11" x14ac:dyDescent="0.3">
      <c r="A997" t="s">
        <v>1034</v>
      </c>
      <c r="B997" s="1">
        <v>45813</v>
      </c>
      <c r="C997" t="s">
        <v>57</v>
      </c>
      <c r="D997" t="s">
        <v>13</v>
      </c>
      <c r="E997" t="s">
        <v>43</v>
      </c>
      <c r="F997" t="s">
        <v>23</v>
      </c>
      <c r="G997" t="s">
        <v>16</v>
      </c>
      <c r="H997">
        <v>2</v>
      </c>
      <c r="I997">
        <v>500.53</v>
      </c>
      <c r="J997">
        <v>1001.06</v>
      </c>
      <c r="K997">
        <v>189.88</v>
      </c>
    </row>
    <row r="998" spans="1:11" x14ac:dyDescent="0.3">
      <c r="A998" t="s">
        <v>1035</v>
      </c>
      <c r="B998" s="1">
        <v>45839</v>
      </c>
      <c r="C998" t="s">
        <v>12</v>
      </c>
      <c r="D998" t="s">
        <v>13</v>
      </c>
      <c r="E998" t="s">
        <v>43</v>
      </c>
      <c r="F998" t="s">
        <v>15</v>
      </c>
      <c r="G998" t="s">
        <v>36</v>
      </c>
      <c r="H998">
        <v>1</v>
      </c>
      <c r="I998">
        <v>18543.46</v>
      </c>
      <c r="J998">
        <v>18543.46</v>
      </c>
      <c r="K998">
        <v>6445.06</v>
      </c>
    </row>
    <row r="999" spans="1:11" x14ac:dyDescent="0.3">
      <c r="A999" t="s">
        <v>1036</v>
      </c>
      <c r="B999" s="1">
        <v>45831</v>
      </c>
      <c r="C999" t="s">
        <v>20</v>
      </c>
      <c r="D999" t="s">
        <v>21</v>
      </c>
      <c r="E999" t="s">
        <v>33</v>
      </c>
      <c r="F999" t="s">
        <v>15</v>
      </c>
      <c r="G999" t="s">
        <v>24</v>
      </c>
      <c r="H999">
        <v>3</v>
      </c>
      <c r="I999">
        <v>7135.7</v>
      </c>
      <c r="J999">
        <v>21407.1</v>
      </c>
      <c r="K999">
        <v>4986.67</v>
      </c>
    </row>
    <row r="1000" spans="1:11" x14ac:dyDescent="0.3">
      <c r="A1000" t="s">
        <v>1037</v>
      </c>
      <c r="B1000" s="1">
        <v>45811</v>
      </c>
      <c r="C1000" t="s">
        <v>32</v>
      </c>
      <c r="D1000" t="s">
        <v>21</v>
      </c>
      <c r="E1000" t="s">
        <v>22</v>
      </c>
      <c r="F1000" t="s">
        <v>23</v>
      </c>
      <c r="G1000" t="s">
        <v>16</v>
      </c>
      <c r="H1000">
        <v>2</v>
      </c>
      <c r="I1000">
        <v>9567.14</v>
      </c>
      <c r="J1000">
        <v>19134.28</v>
      </c>
      <c r="K1000">
        <v>4421.57</v>
      </c>
    </row>
    <row r="1001" spans="1:11" x14ac:dyDescent="0.3">
      <c r="A1001" t="s">
        <v>1038</v>
      </c>
      <c r="B1001" s="1">
        <v>45784</v>
      </c>
      <c r="C1001" t="s">
        <v>12</v>
      </c>
      <c r="D1001" t="s">
        <v>13</v>
      </c>
      <c r="E1001" t="s">
        <v>43</v>
      </c>
      <c r="F1001" t="s">
        <v>23</v>
      </c>
      <c r="G1001" t="s">
        <v>30</v>
      </c>
      <c r="H1001">
        <v>1</v>
      </c>
      <c r="I1001">
        <v>18296.53</v>
      </c>
      <c r="J1001">
        <v>18296.53</v>
      </c>
      <c r="K1001">
        <v>3038.34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2122C-3E56-4E6B-B496-928B290E0DF8}">
  <dimension ref="A1:P6"/>
  <sheetViews>
    <sheetView showGridLines="0" tabSelected="1" zoomScale="59" zoomScaleNormal="56" workbookViewId="0">
      <selection activeCell="W29" sqref="W29"/>
    </sheetView>
  </sheetViews>
  <sheetFormatPr defaultRowHeight="14.4" x14ac:dyDescent="0.3"/>
  <cols>
    <col min="1" max="1" width="10" customWidth="1"/>
    <col min="2" max="2" width="22.44140625" bestFit="1" customWidth="1"/>
    <col min="5" max="5" width="20.44140625" bestFit="1" customWidth="1"/>
    <col min="8" max="8" width="14.44140625" bestFit="1" customWidth="1"/>
    <col min="11" max="11" width="14.44140625" bestFit="1" customWidth="1"/>
  </cols>
  <sheetData>
    <row r="1" spans="1:16" x14ac:dyDescent="0.3">
      <c r="A1" s="13" t="s">
        <v>1055</v>
      </c>
      <c r="B1" s="14"/>
      <c r="C1" s="14"/>
      <c r="D1" s="14"/>
      <c r="E1" s="14"/>
      <c r="F1" s="14"/>
      <c r="G1" s="14"/>
      <c r="H1" s="14"/>
      <c r="I1" s="14"/>
      <c r="J1" s="14"/>
      <c r="K1" s="14"/>
      <c r="L1" s="14"/>
      <c r="M1" s="14"/>
      <c r="N1" s="14"/>
      <c r="O1" s="9"/>
      <c r="P1" s="9"/>
    </row>
    <row r="2" spans="1:16" x14ac:dyDescent="0.3">
      <c r="A2" s="15"/>
      <c r="B2" s="15"/>
      <c r="C2" s="15"/>
      <c r="D2" s="15"/>
      <c r="E2" s="15"/>
      <c r="F2" s="15"/>
      <c r="G2" s="15"/>
      <c r="H2" s="15"/>
      <c r="I2" s="15"/>
      <c r="J2" s="15"/>
      <c r="K2" s="15"/>
      <c r="L2" s="15"/>
      <c r="M2" s="15"/>
      <c r="N2" s="15"/>
      <c r="O2" s="10"/>
      <c r="P2" s="10"/>
    </row>
    <row r="4" spans="1:16" ht="21" x14ac:dyDescent="0.4">
      <c r="B4" s="7" t="s">
        <v>1056</v>
      </c>
      <c r="C4" s="7"/>
      <c r="D4" s="7"/>
      <c r="E4" s="6" t="s">
        <v>1057</v>
      </c>
      <c r="F4" s="6"/>
      <c r="G4" s="6"/>
      <c r="H4" s="5" t="s">
        <v>1058</v>
      </c>
      <c r="I4" s="5"/>
      <c r="J4" s="5"/>
      <c r="K4" s="8" t="s">
        <v>1059</v>
      </c>
      <c r="L4" s="8"/>
      <c r="M4" s="8"/>
    </row>
    <row r="5" spans="1:16" ht="21" x14ac:dyDescent="0.4">
      <c r="B5" s="7">
        <f>GETPIVOTDATA("Sales",'KPI Pivot'!$A$3)</f>
        <v>40566.92</v>
      </c>
      <c r="C5" s="7"/>
      <c r="D5" s="7"/>
      <c r="E5" s="6">
        <f>GETPIVOTDATA("Profit",'KPI Pivot'!$A$3)</f>
        <v>10025.77</v>
      </c>
      <c r="F5" s="6"/>
      <c r="G5" s="6"/>
      <c r="H5" s="11">
        <f>GETPIVOTDATA("Order_ID",'KPI Pivot'!$A$3)</f>
        <v>27</v>
      </c>
      <c r="I5" s="5"/>
      <c r="J5" s="5"/>
      <c r="K5" s="12">
        <f>GETPIVOTDATA("Quantity",'KPI Pivot'!$A$3)</f>
        <v>45</v>
      </c>
      <c r="L5" s="8"/>
      <c r="M5" s="8"/>
    </row>
    <row r="6" spans="1:16" ht="21" x14ac:dyDescent="0.4">
      <c r="B6" s="7"/>
      <c r="C6" s="7"/>
      <c r="D6" s="7"/>
      <c r="E6" s="6"/>
      <c r="F6" s="6"/>
      <c r="G6" s="6"/>
      <c r="H6" s="5"/>
      <c r="I6" s="5"/>
      <c r="J6" s="5"/>
      <c r="K6" s="8"/>
      <c r="L6" s="8"/>
      <c r="M6" s="8"/>
    </row>
  </sheetData>
  <mergeCells count="1">
    <mergeCell ref="A1:N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FFAC5F-A910-446F-A976-A37574BF76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region_wise_pivottable</vt:lpstr>
      <vt:lpstr>mothly_sales_pivottable</vt:lpstr>
      <vt:lpstr>category_wise_pivottable</vt:lpstr>
      <vt:lpstr>KPI Pivot</vt:lpstr>
      <vt:lpstr>sales_analytics_dataset</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Banjara</dc:creator>
  <cp:lastModifiedBy>Sanjana Banjara</cp:lastModifiedBy>
  <dcterms:created xsi:type="dcterms:W3CDTF">2026-10-26T20:04:52Z</dcterms:created>
  <dcterms:modified xsi:type="dcterms:W3CDTF">2026-10-27T16:46:17Z</dcterms:modified>
</cp:coreProperties>
</file>